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fabian/Downloads/"/>
    </mc:Choice>
  </mc:AlternateContent>
  <xr:revisionPtr revIDLastSave="0" documentId="13_ncr:1_{FD5138CE-CDA7-6A4A-B46C-78D366039504}" xr6:coauthVersionLast="47" xr6:coauthVersionMax="47" xr10:uidLastSave="{00000000-0000-0000-0000-000000000000}"/>
  <bookViews>
    <workbookView xWindow="0" yWindow="0" windowWidth="38400" windowHeight="24000" tabRatio="500" activeTab="4" xr2:uid="{00000000-000D-0000-FFFF-FFFF00000000}"/>
  </bookViews>
  <sheets>
    <sheet name="00_Kontenrahmen" sheetId="1" r:id="rId1"/>
    <sheet name="01_Saldenlisten_Import" sheetId="2" r:id="rId2"/>
    <sheet name="02_BWA_Import" sheetId="3" r:id="rId3"/>
    <sheet name="03_Mitarbeiter" sheetId="4" r:id="rId4"/>
    <sheet name="04_Dashboard" sheetId="5" r:id="rId5"/>
    <sheet name="05_Kennzahlen" sheetId="6" r:id="rId6"/>
    <sheet name="06_Mandantenbericht" sheetId="7" r:id="rId7"/>
    <sheet name="07_KI_Auswertung" sheetId="8" r:id="rId8"/>
    <sheet name="08_Kumuliert_Final" sheetId="9" r:id="rId9"/>
    <sheet name="09_Planung" sheetId="10" r:id="rId10"/>
    <sheet name="10_Kostenstruktur" sheetId="11" r:id="rId11"/>
    <sheet name="GuV_Struktur" sheetId="12" r:id="rId12"/>
    <sheet name="Bilanz_Struktur" sheetId="13" r:id="rId13"/>
    <sheet name="Tabelle1" sheetId="15" r:id="rId14"/>
    <sheet name="01_Einstellungen" sheetId="14" r:id="rId1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3" i="13" l="1"/>
  <c r="I23" i="13"/>
  <c r="H23" i="13"/>
  <c r="G23" i="13"/>
  <c r="F23" i="13"/>
  <c r="E23" i="13"/>
  <c r="J21" i="13"/>
  <c r="I21" i="13"/>
  <c r="H21" i="13"/>
  <c r="G21" i="13"/>
  <c r="F21" i="13"/>
  <c r="E21" i="13"/>
  <c r="J20" i="13"/>
  <c r="I20" i="13"/>
  <c r="H20" i="13"/>
  <c r="G20" i="13"/>
  <c r="F20" i="13"/>
  <c r="E20" i="13"/>
  <c r="J19" i="13"/>
  <c r="J22" i="13" s="1"/>
  <c r="I19" i="13"/>
  <c r="H19" i="13"/>
  <c r="H22" i="13" s="1"/>
  <c r="G19" i="13"/>
  <c r="G22" i="13" s="1"/>
  <c r="F19" i="13"/>
  <c r="E19" i="13"/>
  <c r="I18" i="13"/>
  <c r="J17" i="13"/>
  <c r="J18" i="13" s="1"/>
  <c r="J24" i="13" s="1"/>
  <c r="I17" i="13"/>
  <c r="H17" i="13"/>
  <c r="H18" i="13" s="1"/>
  <c r="H24" i="13" s="1"/>
  <c r="G17" i="13"/>
  <c r="G18" i="13" s="1"/>
  <c r="G24" i="13" s="1"/>
  <c r="F17" i="13"/>
  <c r="F18" i="13" s="1"/>
  <c r="E17" i="13"/>
  <c r="E18" i="13" s="1"/>
  <c r="J13" i="13"/>
  <c r="I13" i="13"/>
  <c r="H13" i="13"/>
  <c r="G13" i="13"/>
  <c r="F13" i="13"/>
  <c r="E13" i="13"/>
  <c r="J12" i="13"/>
  <c r="I12" i="13"/>
  <c r="H12" i="13"/>
  <c r="G12" i="13"/>
  <c r="F12" i="13"/>
  <c r="E12" i="13"/>
  <c r="J11" i="13"/>
  <c r="I11" i="13"/>
  <c r="H11" i="13"/>
  <c r="G11" i="13"/>
  <c r="F11" i="13"/>
  <c r="E11" i="13"/>
  <c r="J10" i="13"/>
  <c r="I10" i="13"/>
  <c r="H10" i="13"/>
  <c r="G10" i="13"/>
  <c r="F10" i="13"/>
  <c r="E10" i="13"/>
  <c r="J9" i="13"/>
  <c r="J14" i="13" s="1"/>
  <c r="I9" i="13"/>
  <c r="H9" i="13"/>
  <c r="H14" i="13" s="1"/>
  <c r="G9" i="13"/>
  <c r="F9" i="13"/>
  <c r="E9" i="13"/>
  <c r="E14" i="13" s="1"/>
  <c r="J6" i="13"/>
  <c r="I6" i="13"/>
  <c r="H6" i="13"/>
  <c r="G6" i="13"/>
  <c r="F6" i="13"/>
  <c r="E6" i="13"/>
  <c r="J5" i="13"/>
  <c r="I5" i="13"/>
  <c r="H5" i="13"/>
  <c r="G5" i="13"/>
  <c r="F5" i="13"/>
  <c r="E5" i="13"/>
  <c r="J4" i="13"/>
  <c r="I4" i="13"/>
  <c r="I7" i="13" s="1"/>
  <c r="H4" i="13"/>
  <c r="H7" i="13" s="1"/>
  <c r="H15" i="13" s="1"/>
  <c r="H25" i="13" s="1"/>
  <c r="G4" i="13"/>
  <c r="F4" i="13"/>
  <c r="F7" i="13" s="1"/>
  <c r="E4" i="13"/>
  <c r="N27" i="12"/>
  <c r="M27" i="12"/>
  <c r="L27" i="12"/>
  <c r="J27" i="12"/>
  <c r="I27" i="12"/>
  <c r="H27" i="12"/>
  <c r="G27" i="12"/>
  <c r="F27" i="12"/>
  <c r="E27" i="12"/>
  <c r="N24" i="12"/>
  <c r="M24" i="12"/>
  <c r="L24" i="12"/>
  <c r="J24" i="12"/>
  <c r="I24" i="12"/>
  <c r="H24" i="12"/>
  <c r="G24" i="12"/>
  <c r="F24" i="12"/>
  <c r="E24" i="12"/>
  <c r="N21" i="12"/>
  <c r="M21" i="12"/>
  <c r="L21" i="12"/>
  <c r="J21" i="12"/>
  <c r="I21" i="12"/>
  <c r="H21" i="12"/>
  <c r="G21" i="12"/>
  <c r="F21" i="12"/>
  <c r="E21" i="12"/>
  <c r="N18" i="12"/>
  <c r="M18" i="12"/>
  <c r="L18" i="12"/>
  <c r="J18" i="12"/>
  <c r="I18" i="12"/>
  <c r="H18" i="12"/>
  <c r="G18" i="12"/>
  <c r="F18" i="12"/>
  <c r="E18" i="12"/>
  <c r="N17" i="12"/>
  <c r="M17" i="12"/>
  <c r="L17" i="12"/>
  <c r="J17" i="12"/>
  <c r="I17" i="12"/>
  <c r="H17" i="12"/>
  <c r="G17" i="12"/>
  <c r="F17" i="12"/>
  <c r="E17" i="12"/>
  <c r="N16" i="12"/>
  <c r="M16" i="12"/>
  <c r="L16" i="12"/>
  <c r="J16" i="12"/>
  <c r="I16" i="12"/>
  <c r="H16" i="12"/>
  <c r="G16" i="12"/>
  <c r="F16" i="12"/>
  <c r="E16" i="12"/>
  <c r="N15" i="12"/>
  <c r="M15" i="12"/>
  <c r="L15" i="12"/>
  <c r="J15" i="12"/>
  <c r="I15" i="12"/>
  <c r="H15" i="12"/>
  <c r="G15" i="12"/>
  <c r="F15" i="12"/>
  <c r="E15" i="12"/>
  <c r="N14" i="12"/>
  <c r="M14" i="12"/>
  <c r="L14" i="12"/>
  <c r="J14" i="12"/>
  <c r="I14" i="12"/>
  <c r="H14" i="12"/>
  <c r="G14" i="12"/>
  <c r="F14" i="12"/>
  <c r="E14" i="12"/>
  <c r="N13" i="12"/>
  <c r="M13" i="12"/>
  <c r="L13" i="12"/>
  <c r="J13" i="12"/>
  <c r="I13" i="12"/>
  <c r="H13" i="12"/>
  <c r="G13" i="12"/>
  <c r="F13" i="12"/>
  <c r="E13" i="12"/>
  <c r="N12" i="12"/>
  <c r="M12" i="12"/>
  <c r="L12" i="12"/>
  <c r="J12" i="12"/>
  <c r="I12" i="12"/>
  <c r="H12" i="12"/>
  <c r="G12" i="12"/>
  <c r="F12" i="12"/>
  <c r="E12" i="12"/>
  <c r="N11" i="12"/>
  <c r="M11" i="12"/>
  <c r="L11" i="12"/>
  <c r="J11" i="12"/>
  <c r="I11" i="12"/>
  <c r="H11" i="12"/>
  <c r="G11" i="12"/>
  <c r="F11" i="12"/>
  <c r="E11" i="12"/>
  <c r="N8" i="12"/>
  <c r="M8" i="12"/>
  <c r="L8" i="12"/>
  <c r="J8" i="12"/>
  <c r="I8" i="12"/>
  <c r="H8" i="12"/>
  <c r="G8" i="12"/>
  <c r="F8" i="12"/>
  <c r="E8" i="12"/>
  <c r="N7" i="12"/>
  <c r="M7" i="12"/>
  <c r="L7" i="12"/>
  <c r="J7" i="12"/>
  <c r="I7" i="12"/>
  <c r="H7" i="12"/>
  <c r="G7" i="12"/>
  <c r="F7" i="12"/>
  <c r="E7" i="12"/>
  <c r="N4" i="12"/>
  <c r="M4" i="12"/>
  <c r="L4" i="12"/>
  <c r="J4" i="12"/>
  <c r="I4" i="12"/>
  <c r="H4" i="12"/>
  <c r="G4" i="12"/>
  <c r="F4" i="12"/>
  <c r="E4" i="12"/>
  <c r="N3" i="12"/>
  <c r="M3" i="12"/>
  <c r="L3" i="12"/>
  <c r="L5" i="12" s="1"/>
  <c r="L9" i="12" s="1"/>
  <c r="L19" i="12" s="1"/>
  <c r="L22" i="12" s="1"/>
  <c r="L25" i="12" s="1"/>
  <c r="L28" i="12" s="1"/>
  <c r="J3" i="12"/>
  <c r="I3" i="12"/>
  <c r="I5" i="12" s="1"/>
  <c r="I9" i="12" s="1"/>
  <c r="I19" i="12" s="1"/>
  <c r="I22" i="12" s="1"/>
  <c r="I25" i="12" s="1"/>
  <c r="I28" i="12" s="1"/>
  <c r="H3" i="12"/>
  <c r="H5" i="12" s="1"/>
  <c r="H9" i="12" s="1"/>
  <c r="H19" i="12" s="1"/>
  <c r="H22" i="12" s="1"/>
  <c r="H25" i="12" s="1"/>
  <c r="H28" i="12" s="1"/>
  <c r="G3" i="12"/>
  <c r="G5" i="12" s="1"/>
  <c r="G9" i="12" s="1"/>
  <c r="G19" i="12" s="1"/>
  <c r="G22" i="12" s="1"/>
  <c r="G25" i="12" s="1"/>
  <c r="G28" i="12" s="1"/>
  <c r="F3" i="12"/>
  <c r="F5" i="12" s="1"/>
  <c r="F9" i="12" s="1"/>
  <c r="F19" i="12" s="1"/>
  <c r="F22" i="12" s="1"/>
  <c r="F25" i="12" s="1"/>
  <c r="F28" i="12" s="1"/>
  <c r="E3" i="12"/>
  <c r="G14" i="11"/>
  <c r="H14" i="11" s="1"/>
  <c r="E14" i="11"/>
  <c r="F14" i="11" s="1"/>
  <c r="C14" i="11"/>
  <c r="B14" i="11"/>
  <c r="I13" i="11"/>
  <c r="J13" i="11" s="1"/>
  <c r="H13" i="11"/>
  <c r="F13" i="11"/>
  <c r="D13" i="11"/>
  <c r="I12" i="11"/>
  <c r="J12" i="11" s="1"/>
  <c r="H12" i="11"/>
  <c r="F12" i="11"/>
  <c r="D12" i="11"/>
  <c r="I11" i="11"/>
  <c r="J11" i="11" s="1"/>
  <c r="H11" i="11"/>
  <c r="F11" i="11"/>
  <c r="D11" i="11"/>
  <c r="J10" i="11"/>
  <c r="I10" i="11"/>
  <c r="H10" i="11"/>
  <c r="F10" i="11"/>
  <c r="D10" i="11"/>
  <c r="I9" i="11"/>
  <c r="J9" i="11" s="1"/>
  <c r="H9" i="11"/>
  <c r="F9" i="11"/>
  <c r="D9" i="11"/>
  <c r="I8" i="11"/>
  <c r="J8" i="11" s="1"/>
  <c r="H8" i="11"/>
  <c r="F8" i="11"/>
  <c r="D8" i="11"/>
  <c r="I7" i="11"/>
  <c r="J7" i="11" s="1"/>
  <c r="H7" i="11"/>
  <c r="F7" i="11"/>
  <c r="D7" i="11"/>
  <c r="I6" i="11"/>
  <c r="J6" i="11" s="1"/>
  <c r="H6" i="11"/>
  <c r="F6" i="11"/>
  <c r="D6" i="11"/>
  <c r="I5" i="11"/>
  <c r="H5" i="11"/>
  <c r="F5" i="11"/>
  <c r="D5" i="11"/>
  <c r="J17" i="10"/>
  <c r="I17" i="10"/>
  <c r="F17" i="10"/>
  <c r="D17" i="10"/>
  <c r="C17" i="10"/>
  <c r="G16" i="10"/>
  <c r="H16" i="10" s="1"/>
  <c r="E16" i="10"/>
  <c r="G15" i="10"/>
  <c r="H15" i="10" s="1"/>
  <c r="E15" i="10"/>
  <c r="G14" i="10"/>
  <c r="H14" i="10" s="1"/>
  <c r="E14" i="10"/>
  <c r="K13" i="10"/>
  <c r="L13" i="10" s="1"/>
  <c r="H13" i="10"/>
  <c r="G13" i="10"/>
  <c r="E13" i="10"/>
  <c r="G12" i="10"/>
  <c r="K12" i="10" s="1"/>
  <c r="L12" i="10" s="1"/>
  <c r="E12" i="10"/>
  <c r="G11" i="10"/>
  <c r="K11" i="10" s="1"/>
  <c r="L11" i="10" s="1"/>
  <c r="E11" i="10"/>
  <c r="G10" i="10"/>
  <c r="K10" i="10" s="1"/>
  <c r="L10" i="10" s="1"/>
  <c r="E10" i="10"/>
  <c r="G9" i="10"/>
  <c r="H9" i="10" s="1"/>
  <c r="E9" i="10"/>
  <c r="G8" i="10"/>
  <c r="H8" i="10" s="1"/>
  <c r="E8" i="10"/>
  <c r="G7" i="10"/>
  <c r="E7" i="10"/>
  <c r="G6" i="10"/>
  <c r="K6" i="10" s="1"/>
  <c r="L6" i="10" s="1"/>
  <c r="E6" i="10"/>
  <c r="G5" i="10"/>
  <c r="K5" i="10" s="1"/>
  <c r="L5" i="10" s="1"/>
  <c r="E5" i="10"/>
  <c r="F17" i="9"/>
  <c r="D17" i="9"/>
  <c r="C17" i="9"/>
  <c r="K18" i="7"/>
  <c r="I18" i="7"/>
  <c r="J18" i="7" s="1"/>
  <c r="H18" i="7"/>
  <c r="F18" i="7"/>
  <c r="G18" i="7" s="1"/>
  <c r="E18" i="7"/>
  <c r="C18" i="7"/>
  <c r="B18" i="7"/>
  <c r="D18" i="7" s="1"/>
  <c r="J17" i="7"/>
  <c r="G17" i="7"/>
  <c r="D17" i="7"/>
  <c r="J16" i="7"/>
  <c r="G16" i="7"/>
  <c r="D16" i="7"/>
  <c r="J15" i="7"/>
  <c r="G15" i="7"/>
  <c r="D15" i="7"/>
  <c r="J14" i="7"/>
  <c r="G14" i="7"/>
  <c r="D14" i="7"/>
  <c r="J13" i="7"/>
  <c r="G13" i="7"/>
  <c r="D13" i="7"/>
  <c r="J12" i="7"/>
  <c r="G12" i="7"/>
  <c r="D12" i="7"/>
  <c r="J11" i="7"/>
  <c r="G11" i="7"/>
  <c r="D11" i="7"/>
  <c r="J10" i="7"/>
  <c r="G10" i="7"/>
  <c r="D10" i="7"/>
  <c r="J9" i="7"/>
  <c r="G9" i="7"/>
  <c r="D9" i="7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N18" i="5"/>
  <c r="M18" i="5"/>
  <c r="K18" i="5"/>
  <c r="J18" i="5"/>
  <c r="H18" i="5"/>
  <c r="I18" i="5" s="1"/>
  <c r="F18" i="5"/>
  <c r="E18" i="5"/>
  <c r="C18" i="5"/>
  <c r="B18" i="5"/>
  <c r="D18" i="5" s="1"/>
  <c r="L17" i="5"/>
  <c r="I17" i="5"/>
  <c r="G17" i="5"/>
  <c r="D17" i="5"/>
  <c r="L16" i="5"/>
  <c r="I16" i="5"/>
  <c r="G16" i="5"/>
  <c r="D16" i="5"/>
  <c r="L15" i="5"/>
  <c r="I15" i="5"/>
  <c r="G15" i="5"/>
  <c r="D15" i="5"/>
  <c r="L14" i="5"/>
  <c r="I14" i="5"/>
  <c r="G14" i="5"/>
  <c r="D14" i="5"/>
  <c r="L13" i="5"/>
  <c r="I13" i="5"/>
  <c r="G13" i="5"/>
  <c r="D13" i="5"/>
  <c r="L12" i="5"/>
  <c r="I12" i="5"/>
  <c r="G12" i="5"/>
  <c r="D12" i="5"/>
  <c r="L11" i="5"/>
  <c r="I11" i="5"/>
  <c r="G11" i="5"/>
  <c r="D11" i="5"/>
  <c r="L10" i="5"/>
  <c r="I10" i="5"/>
  <c r="G10" i="5"/>
  <c r="D10" i="5"/>
  <c r="L9" i="5"/>
  <c r="I9" i="5"/>
  <c r="G9" i="5"/>
  <c r="D9" i="5"/>
  <c r="F11" i="4"/>
  <c r="I10" i="4"/>
  <c r="J10" i="4" s="1"/>
  <c r="H10" i="4"/>
  <c r="I9" i="4"/>
  <c r="J9" i="4" s="1"/>
  <c r="H9" i="4"/>
  <c r="I8" i="4"/>
  <c r="J8" i="4" s="1"/>
  <c r="H8" i="4"/>
  <c r="I7" i="4"/>
  <c r="J7" i="4" s="1"/>
  <c r="H7" i="4"/>
  <c r="I6" i="4"/>
  <c r="J6" i="4" s="1"/>
  <c r="H6" i="4"/>
  <c r="I5" i="4"/>
  <c r="J5" i="4" s="1"/>
  <c r="H5" i="4"/>
  <c r="H41" i="3"/>
  <c r="K29" i="2"/>
  <c r="F29" i="2"/>
  <c r="K28" i="2"/>
  <c r="F28" i="2"/>
  <c r="K27" i="2"/>
  <c r="F27" i="2"/>
  <c r="K26" i="2"/>
  <c r="F26" i="2"/>
  <c r="K25" i="2"/>
  <c r="F25" i="2"/>
  <c r="K24" i="2"/>
  <c r="F24" i="2"/>
  <c r="K23" i="2"/>
  <c r="F23" i="2"/>
  <c r="K22" i="2"/>
  <c r="F22" i="2"/>
  <c r="K21" i="2"/>
  <c r="F21" i="2"/>
  <c r="K20" i="2"/>
  <c r="F20" i="2"/>
  <c r="K13" i="12" s="1"/>
  <c r="K19" i="2"/>
  <c r="F19" i="2"/>
  <c r="K18" i="2"/>
  <c r="F18" i="2"/>
  <c r="K17" i="2"/>
  <c r="F17" i="2"/>
  <c r="K16" i="2"/>
  <c r="F16" i="2"/>
  <c r="K15" i="2"/>
  <c r="F15" i="2"/>
  <c r="K14" i="2"/>
  <c r="F14" i="2"/>
  <c r="K13" i="2"/>
  <c r="F13" i="2"/>
  <c r="K12" i="2"/>
  <c r="F12" i="2"/>
  <c r="K11" i="2"/>
  <c r="F11" i="2"/>
  <c r="K10" i="2"/>
  <c r="F10" i="2"/>
  <c r="K9" i="2"/>
  <c r="F9" i="2"/>
  <c r="K8" i="2"/>
  <c r="F8" i="2"/>
  <c r="K7" i="2"/>
  <c r="F7" i="2"/>
  <c r="K6" i="2"/>
  <c r="F6" i="2"/>
  <c r="K5" i="2"/>
  <c r="F5" i="2"/>
  <c r="C8" i="12" s="1"/>
  <c r="K4" i="2"/>
  <c r="F4" i="2"/>
  <c r="C13" i="12" s="1"/>
  <c r="E22" i="13" l="1"/>
  <c r="E24" i="13" s="1"/>
  <c r="G17" i="10"/>
  <c r="H17" i="10" s="1"/>
  <c r="K4" i="12"/>
  <c r="G7" i="13"/>
  <c r="G15" i="13" s="1"/>
  <c r="G25" i="13" s="1"/>
  <c r="F22" i="13"/>
  <c r="H5" i="10"/>
  <c r="K16" i="10"/>
  <c r="L16" i="10" s="1"/>
  <c r="M5" i="12"/>
  <c r="M9" i="12" s="1"/>
  <c r="M19" i="12" s="1"/>
  <c r="M22" i="12" s="1"/>
  <c r="M25" i="12" s="1"/>
  <c r="M28" i="12" s="1"/>
  <c r="F14" i="13"/>
  <c r="N5" i="12"/>
  <c r="N9" i="12" s="1"/>
  <c r="N19" i="12" s="1"/>
  <c r="N22" i="12" s="1"/>
  <c r="N25" i="12" s="1"/>
  <c r="N28" i="12" s="1"/>
  <c r="J7" i="13"/>
  <c r="J15" i="13" s="1"/>
  <c r="J25" i="13" s="1"/>
  <c r="G14" i="13"/>
  <c r="I22" i="13"/>
  <c r="D21" i="13"/>
  <c r="K14" i="10"/>
  <c r="L14" i="10" s="1"/>
  <c r="H6" i="10"/>
  <c r="E7" i="13"/>
  <c r="I14" i="11"/>
  <c r="J14" i="11" s="1"/>
  <c r="G18" i="5"/>
  <c r="K8" i="10"/>
  <c r="L8" i="10" s="1"/>
  <c r="C3" i="12"/>
  <c r="D7" i="12"/>
  <c r="K9" i="10"/>
  <c r="L9" i="10" s="1"/>
  <c r="D14" i="11"/>
  <c r="J5" i="12"/>
  <c r="J9" i="12" s="1"/>
  <c r="J19" i="12" s="1"/>
  <c r="J22" i="12" s="1"/>
  <c r="J25" i="12" s="1"/>
  <c r="J28" i="12" s="1"/>
  <c r="K7" i="12"/>
  <c r="I14" i="13"/>
  <c r="I15" i="13" s="1"/>
  <c r="E5" i="12"/>
  <c r="E9" i="12" s="1"/>
  <c r="E19" i="12" s="1"/>
  <c r="E22" i="12" s="1"/>
  <c r="E25" i="12" s="1"/>
  <c r="E28" i="12" s="1"/>
  <c r="L18" i="5"/>
  <c r="K3" i="12"/>
  <c r="K5" i="12" s="1"/>
  <c r="C7" i="12"/>
  <c r="O7" i="12" s="1"/>
  <c r="F15" i="13"/>
  <c r="E15" i="13"/>
  <c r="J11" i="4"/>
  <c r="F24" i="13"/>
  <c r="I24" i="13"/>
  <c r="D13" i="12"/>
  <c r="O13" i="12" s="1"/>
  <c r="C18" i="12"/>
  <c r="K18" i="12"/>
  <c r="C4" i="13"/>
  <c r="K4" i="13"/>
  <c r="C9" i="13"/>
  <c r="K9" i="13"/>
  <c r="C13" i="13"/>
  <c r="K13" i="13"/>
  <c r="I11" i="4"/>
  <c r="K7" i="10"/>
  <c r="L7" i="10" s="1"/>
  <c r="H12" i="10"/>
  <c r="K15" i="10"/>
  <c r="L15" i="10" s="1"/>
  <c r="C15" i="12"/>
  <c r="K15" i="12"/>
  <c r="D18" i="12"/>
  <c r="D4" i="13"/>
  <c r="D9" i="13"/>
  <c r="D13" i="13"/>
  <c r="D3" i="12"/>
  <c r="C12" i="12"/>
  <c r="K12" i="12"/>
  <c r="D15" i="12"/>
  <c r="C21" i="12"/>
  <c r="K21" i="12"/>
  <c r="C5" i="13"/>
  <c r="K5" i="13"/>
  <c r="C10" i="13"/>
  <c r="K10" i="13"/>
  <c r="C19" i="13"/>
  <c r="K19" i="13"/>
  <c r="C23" i="13"/>
  <c r="K23" i="13"/>
  <c r="H10" i="10"/>
  <c r="K8" i="12"/>
  <c r="K9" i="12" s="1"/>
  <c r="D12" i="12"/>
  <c r="C17" i="12"/>
  <c r="K17" i="12"/>
  <c r="D21" i="12"/>
  <c r="D5" i="13"/>
  <c r="D10" i="13"/>
  <c r="D19" i="13"/>
  <c r="D23" i="13"/>
  <c r="H7" i="10"/>
  <c r="H11" i="10"/>
  <c r="C4" i="12"/>
  <c r="C14" i="12"/>
  <c r="K14" i="12"/>
  <c r="D17" i="12"/>
  <c r="C24" i="12"/>
  <c r="K24" i="12"/>
  <c r="C6" i="13"/>
  <c r="K6" i="13"/>
  <c r="C11" i="13"/>
  <c r="K11" i="13"/>
  <c r="C20" i="13"/>
  <c r="L20" i="13" s="1"/>
  <c r="K20" i="13"/>
  <c r="D8" i="12"/>
  <c r="J5" i="11"/>
  <c r="D4" i="12"/>
  <c r="C11" i="12"/>
  <c r="K11" i="12"/>
  <c r="D14" i="12"/>
  <c r="D24" i="12"/>
  <c r="D6" i="13"/>
  <c r="D11" i="13"/>
  <c r="D20" i="13"/>
  <c r="D11" i="12"/>
  <c r="C16" i="12"/>
  <c r="K16" i="12"/>
  <c r="C27" i="12"/>
  <c r="K27" i="12"/>
  <c r="C12" i="13"/>
  <c r="K12" i="13"/>
  <c r="C17" i="13"/>
  <c r="K17" i="13"/>
  <c r="K18" i="13" s="1"/>
  <c r="C21" i="13"/>
  <c r="K21" i="13"/>
  <c r="D16" i="12"/>
  <c r="D27" i="12"/>
  <c r="D12" i="13"/>
  <c r="D17" i="13"/>
  <c r="D18" i="13" s="1"/>
  <c r="I25" i="13" l="1"/>
  <c r="L11" i="13"/>
  <c r="O4" i="12"/>
  <c r="K19" i="12"/>
  <c r="K22" i="12" s="1"/>
  <c r="K25" i="12" s="1"/>
  <c r="K28" i="12" s="1"/>
  <c r="L10" i="13"/>
  <c r="D5" i="12"/>
  <c r="D9" i="12" s="1"/>
  <c r="D19" i="12" s="1"/>
  <c r="D22" i="12" s="1"/>
  <c r="D25" i="12" s="1"/>
  <c r="D28" i="12" s="1"/>
  <c r="E25" i="13"/>
  <c r="O8" i="12"/>
  <c r="K17" i="10"/>
  <c r="L17" i="10" s="1"/>
  <c r="O18" i="12"/>
  <c r="L17" i="13"/>
  <c r="L18" i="13" s="1"/>
  <c r="C18" i="13"/>
  <c r="C7" i="13"/>
  <c r="C15" i="13" s="1"/>
  <c r="L4" i="13"/>
  <c r="O24" i="12"/>
  <c r="D22" i="13"/>
  <c r="D24" i="13" s="1"/>
  <c r="C5" i="12"/>
  <c r="L12" i="13"/>
  <c r="L5" i="13"/>
  <c r="D14" i="13"/>
  <c r="O3" i="12"/>
  <c r="D7" i="13"/>
  <c r="O27" i="12"/>
  <c r="O14" i="12"/>
  <c r="L23" i="13"/>
  <c r="O21" i="12"/>
  <c r="L13" i="13"/>
  <c r="K14" i="13"/>
  <c r="L21" i="13"/>
  <c r="O11" i="12"/>
  <c r="O17" i="12"/>
  <c r="L19" i="13"/>
  <c r="C22" i="13"/>
  <c r="O15" i="12"/>
  <c r="C14" i="13"/>
  <c r="L9" i="13"/>
  <c r="L14" i="13" s="1"/>
  <c r="K22" i="13"/>
  <c r="K24" i="13" s="1"/>
  <c r="O16" i="12"/>
  <c r="L6" i="13"/>
  <c r="O12" i="12"/>
  <c r="K7" i="13"/>
  <c r="F25" i="13"/>
  <c r="K15" i="13" l="1"/>
  <c r="L22" i="13"/>
  <c r="L24" i="13" s="1"/>
  <c r="D15" i="13"/>
  <c r="D25" i="13" s="1"/>
  <c r="L7" i="13"/>
  <c r="L15" i="13" s="1"/>
  <c r="K25" i="13"/>
  <c r="C24" i="13"/>
  <c r="C25" i="13" s="1"/>
  <c r="O5" i="12"/>
  <c r="C9" i="12"/>
  <c r="C19" i="12" l="1"/>
  <c r="O9" i="12"/>
  <c r="L25" i="13"/>
  <c r="C22" i="12" l="1"/>
  <c r="O19" i="12"/>
  <c r="O22" i="12" l="1"/>
  <c r="C25" i="12"/>
  <c r="O25" i="12" l="1"/>
  <c r="C28" i="12"/>
  <c r="O28" i="12" s="1"/>
</calcChain>
</file>

<file path=xl/sharedStrings.xml><?xml version="1.0" encoding="utf-8"?>
<sst xmlns="http://schemas.openxmlformats.org/spreadsheetml/2006/main" count="2375" uniqueCount="603">
  <si>
    <t>📋  DATEV KONTENRAHMEN — SKR03 / SKR04 Mapping → BWA-Gruppen &amp; GuV/Bilanz</t>
  </si>
  <si>
    <t>SKR03</t>
  </si>
  <si>
    <t>SKR04</t>
  </si>
  <si>
    <t>Kontobezeichnung</t>
  </si>
  <si>
    <t>BWA-Gruppe</t>
  </si>
  <si>
    <t>GuV/Bilanz Position</t>
  </si>
  <si>
    <t>Kontenklasse</t>
  </si>
  <si>
    <t>Vorzeichen</t>
  </si>
  <si>
    <t>Aktiv</t>
  </si>
  <si>
    <t>▶  ERLÖSE — Umsatzerlöse</t>
  </si>
  <si>
    <t>Umsatzerlöse 19% USt</t>
  </si>
  <si>
    <t>Umsatz</t>
  </si>
  <si>
    <t>GuV: Umsatzerlöse</t>
  </si>
  <si>
    <t>Erlöse</t>
  </si>
  <si>
    <t>+</t>
  </si>
  <si>
    <t>✓</t>
  </si>
  <si>
    <t>Umsatzerlöse 7% USt</t>
  </si>
  <si>
    <t>Steuerfreie Umsätze §4 UStG</t>
  </si>
  <si>
    <t>Umsatzerlöse Ausland (EU)</t>
  </si>
  <si>
    <t>Umsatzerlöse Drittland</t>
  </si>
  <si>
    <t>Provisionserlöse</t>
  </si>
  <si>
    <t>Mieterlöse</t>
  </si>
  <si>
    <t>Erlöse aus Anlagenverkäufen</t>
  </si>
  <si>
    <t>Sonstige Erlöse</t>
  </si>
  <si>
    <t>GuV: Sonstige betriebliche Erlöse</t>
  </si>
  <si>
    <t>Andere sonstige Erlöse</t>
  </si>
  <si>
    <t>Bestandsveränderungen</t>
  </si>
  <si>
    <t>Bestandsveränd.</t>
  </si>
  <si>
    <t>GuV: Bestandsveränderungen</t>
  </si>
  <si>
    <t>▶  AUFWAND — Materialaufwand</t>
  </si>
  <si>
    <t>Wareneinkauf 19% VSt</t>
  </si>
  <si>
    <t>Wareneinsatz</t>
  </si>
  <si>
    <t>GuV: Materialaufwand</t>
  </si>
  <si>
    <t>Aufwand</t>
  </si>
  <si>
    <t>-</t>
  </si>
  <si>
    <t>Wareneinkauf 7% VSt</t>
  </si>
  <si>
    <t>Wareneinkauf steuerfreie Einnahmen</t>
  </si>
  <si>
    <t>Bezogene Leistungen</t>
  </si>
  <si>
    <t>Fremdleistungen</t>
  </si>
  <si>
    <t>Hilfsstoffe &amp; Betriebsmittel</t>
  </si>
  <si>
    <t>Roh- und Betriebsstoffe</t>
  </si>
  <si>
    <t>Wareneingang ohne Vorsteuer</t>
  </si>
  <si>
    <t>Löhne und Gehälter</t>
  </si>
  <si>
    <t>Personal</t>
  </si>
  <si>
    <t>GuV: Personalaufwand</t>
  </si>
  <si>
    <t>Gehälter Angestellte</t>
  </si>
  <si>
    <t>Löhne Arbeiter</t>
  </si>
  <si>
    <t>Gehälter Geschäftsführung</t>
  </si>
  <si>
    <t>Aushilfslöhne</t>
  </si>
  <si>
    <t>Sozialabgaben AG-Anteil</t>
  </si>
  <si>
    <t>Berufsgenossenschaft</t>
  </si>
  <si>
    <t>Betriebliche Altersvorsorge</t>
  </si>
  <si>
    <t>Personalnebenkosten</t>
  </si>
  <si>
    <t>Miete &amp; Pacht</t>
  </si>
  <si>
    <t>Raumkosten</t>
  </si>
  <si>
    <t>GuV: Sonstige betriebliche Aufwände</t>
  </si>
  <si>
    <t>Strom und Heizung</t>
  </si>
  <si>
    <t>Reinigung und Pflege</t>
  </si>
  <si>
    <t>Kfz-Steuer &amp; Versicherung</t>
  </si>
  <si>
    <t>Kfz-Kosten</t>
  </si>
  <si>
    <t>Kfz-Reparaturen</t>
  </si>
  <si>
    <t>Kraftstoffe</t>
  </si>
  <si>
    <t>Werbekosten</t>
  </si>
  <si>
    <t>Marketing</t>
  </si>
  <si>
    <t>Messen und Ausstellungen</t>
  </si>
  <si>
    <t>Reisekosten Mitarbeiter</t>
  </si>
  <si>
    <t>Reisekosten</t>
  </si>
  <si>
    <t>Reisekosten Unternehmer</t>
  </si>
  <si>
    <t>Bewirtungskosten</t>
  </si>
  <si>
    <t>Bürobedarf</t>
  </si>
  <si>
    <t>Büro &amp; IT</t>
  </si>
  <si>
    <t>Porto und Versand</t>
  </si>
  <si>
    <t>Telefon und Internet</t>
  </si>
  <si>
    <t>EDV-Kosten &amp; Software-Lizenzen</t>
  </si>
  <si>
    <t>Cloud &amp; SaaS Abonnements</t>
  </si>
  <si>
    <t>Versicherungen</t>
  </si>
  <si>
    <t>Beiträge und Gebühren</t>
  </si>
  <si>
    <t>AfA Sachanlagen</t>
  </si>
  <si>
    <t>Abschreibungen</t>
  </si>
  <si>
    <t>GuV: Abschreibungen</t>
  </si>
  <si>
    <t>AfA immaterielle Vermögen</t>
  </si>
  <si>
    <t>AfA Geringwertige Wirtschaftsgüter</t>
  </si>
  <si>
    <t>Sonstige Betriebskosten</t>
  </si>
  <si>
    <t>Sonstige</t>
  </si>
  <si>
    <t>Sonstige Kosten allgemein</t>
  </si>
  <si>
    <t>▶  ERTRAG — Finanzergebnis</t>
  </si>
  <si>
    <t>Zinserträge</t>
  </si>
  <si>
    <t>Finanzergebnis</t>
  </si>
  <si>
    <t>GuV: Finanzergebnis</t>
  </si>
  <si>
    <t>Ertrag</t>
  </si>
  <si>
    <t>Erträge Beteiligungen</t>
  </si>
  <si>
    <t>▶  AUFWAND — Finanzergebnis</t>
  </si>
  <si>
    <t>Zinsaufwand kurzfristig</t>
  </si>
  <si>
    <t>Zinsaufwand langfristig</t>
  </si>
  <si>
    <t>Kursverluste / Kursgewinne</t>
  </si>
  <si>
    <t>+-</t>
  </si>
  <si>
    <t>Körperschaftsteuer</t>
  </si>
  <si>
    <t>Steuern</t>
  </si>
  <si>
    <t>GuV: Steuern</t>
  </si>
  <si>
    <t>Gewerbesteuer</t>
  </si>
  <si>
    <t>Umsatzsteuer-Zahllast</t>
  </si>
  <si>
    <t>▶  AKTIVA — Anlagevermögen</t>
  </si>
  <si>
    <t>Grundstücke &amp; Gebäude</t>
  </si>
  <si>
    <t>Anlagevermögen</t>
  </si>
  <si>
    <t>Bilanz Aktiva: Anlagevermögen</t>
  </si>
  <si>
    <t>Aktiva</t>
  </si>
  <si>
    <t>Maschinen &amp; Anlagen</t>
  </si>
  <si>
    <t>Fahrzeuge</t>
  </si>
  <si>
    <t>BGA (Betriebs- &amp; Geschäftsausst.)</t>
  </si>
  <si>
    <t>Software / immaterielle WG</t>
  </si>
  <si>
    <t>Kasse</t>
  </si>
  <si>
    <t>Kassenbestand</t>
  </si>
  <si>
    <t>Bilanz Aktiva: Umlaufvermögen</t>
  </si>
  <si>
    <t>Bank (Girokonten)</t>
  </si>
  <si>
    <t>Bankguthaben</t>
  </si>
  <si>
    <t>Bank 2 (z.B. Sparkasse)</t>
  </si>
  <si>
    <t>Forderungen aus LuL</t>
  </si>
  <si>
    <t>Forderungen</t>
  </si>
  <si>
    <t>Forderungen verbundene Unternehmen</t>
  </si>
  <si>
    <t>Geleistete Anzahlungen</t>
  </si>
  <si>
    <t>Vorräte / Fertigerzeugnisse</t>
  </si>
  <si>
    <t>Vorräte</t>
  </si>
  <si>
    <t>Vorsteuer 19%</t>
  </si>
  <si>
    <t>Vorsteuer</t>
  </si>
  <si>
    <t>Vorsteuer 7%</t>
  </si>
  <si>
    <t>▶  PASSIVA — Eigenkapital</t>
  </si>
  <si>
    <t>Stammkapital / gezeichnetes Kapital</t>
  </si>
  <si>
    <t>Eigenkapital</t>
  </si>
  <si>
    <t>Bilanz Passiva: Eigenkapital</t>
  </si>
  <si>
    <t>Passiva</t>
  </si>
  <si>
    <t>Rücklagen</t>
  </si>
  <si>
    <t>Gewinn-/Verlustvortrag</t>
  </si>
  <si>
    <t>Jahresüberschuss / -fehlbetrag</t>
  </si>
  <si>
    <t>Darlehen (langfristig)</t>
  </si>
  <si>
    <t>Fremdkapital</t>
  </si>
  <si>
    <t>Bilanz Passiva: Verbindlichkeiten</t>
  </si>
  <si>
    <t>Darlehen (kurzfristig &lt; 1 Jahr)</t>
  </si>
  <si>
    <t>Verbindlichkeiten aus LuL</t>
  </si>
  <si>
    <t>USt-Zahllast (Umsatzsteuer)</t>
  </si>
  <si>
    <t>Steuervb.</t>
  </si>
  <si>
    <t>Lohnsteuer-Verbindlichkeit</t>
  </si>
  <si>
    <t>Sonstige Verbindlichkeiten</t>
  </si>
  <si>
    <t>Rückstellungen allgemein</t>
  </si>
  <si>
    <t>Rückstellungen</t>
  </si>
  <si>
    <t>Bilanz Passiva: Rückstellungen</t>
  </si>
  <si>
    <t>Steuerrückstellungen</t>
  </si>
  <si>
    <t>Sozialversicherungsrückstellungen</t>
  </si>
  <si>
    <t>📥  DATEV SALDENLISTEN-IMPORT — Rohdaten (DATEV-CSV Format SKR03/SKR04)</t>
  </si>
  <si>
    <t>⚠️  CSV hier einfügen: Monat | Mandant | Konto | Bezeichnung | Betrag | Kostenstelle — Kontenzuordnung erfolgt automatisch per SVERWEIS aus Kontenrahmen-Sheet</t>
  </si>
  <si>
    <t>Monat
(JJJJ-MM)</t>
  </si>
  <si>
    <t>Mandant</t>
  </si>
  <si>
    <t>Konto
(SKR03)</t>
  </si>
  <si>
    <t>Konto
(SKR04)</t>
  </si>
  <si>
    <t>BWA-Gruppe
(auto)</t>
  </si>
  <si>
    <t>Soll-Betrag
(€)</t>
  </si>
  <si>
    <t>Haben-Betrag
(€)</t>
  </si>
  <si>
    <t>Saldo
(€)</t>
  </si>
  <si>
    <t>Netto-Betrag
(€)</t>
  </si>
  <si>
    <t>GuV/Bilanz
(auto)</t>
  </si>
  <si>
    <t>Kostenstelle</t>
  </si>
  <si>
    <t>Quelle</t>
  </si>
  <si>
    <t>Status</t>
  </si>
  <si>
    <t>2025-01</t>
  </si>
  <si>
    <t>Mustermann GmbH</t>
  </si>
  <si>
    <t>Umsatzerlöse 19%</t>
  </si>
  <si>
    <t>Vertrieb</t>
  </si>
  <si>
    <t>DATEV-CSV</t>
  </si>
  <si>
    <t>OK</t>
  </si>
  <si>
    <t>Wareneinkauf 19%</t>
  </si>
  <si>
    <t>Einkauf</t>
  </si>
  <si>
    <t>EDV-Kosten &amp; Software</t>
  </si>
  <si>
    <t>IT</t>
  </si>
  <si>
    <t>Verwaltung</t>
  </si>
  <si>
    <t>Bank (Girokonto)</t>
  </si>
  <si>
    <t>Finance</t>
  </si>
  <si>
    <t>Verbindlichkeiten LuL</t>
  </si>
  <si>
    <t>2025-02</t>
  </si>
  <si>
    <t>2025-09</t>
  </si>
  <si>
    <t>Beispiel Handel GmbH</t>
  </si>
  <si>
    <t>2025-03</t>
  </si>
  <si>
    <t>2025-04</t>
  </si>
  <si>
    <t>2025-05</t>
  </si>
  <si>
    <t>2025-06</t>
  </si>
  <si>
    <t>2025-07</t>
  </si>
  <si>
    <t>2025-08</t>
  </si>
  <si>
    <t>2025-10</t>
  </si>
  <si>
    <t>2025-11</t>
  </si>
  <si>
    <t>2025-12</t>
  </si>
  <si>
    <t>📥  DATEV BWA — CSV Import &amp; Rohdaten</t>
  </si>
  <si>
    <t>Datenbasis für alle Auswertungen. CSV hier einfügen oder per Power Query / manuell befüllen.</t>
  </si>
  <si>
    <t>Monat</t>
  </si>
  <si>
    <t>Konto</t>
  </si>
  <si>
    <t>Betrag (€)</t>
  </si>
  <si>
    <t>Kosten</t>
  </si>
  <si>
    <t>Personalkosten</t>
  </si>
  <si>
    <t>Team Gesamt</t>
  </si>
  <si>
    <t>Sonstige Kosten</t>
  </si>
  <si>
    <t>SUMME (36 Datensätze / 9 Monate)</t>
  </si>
  <si>
    <t>👥  Mitarbeiterdaten &amp; Personalkosten</t>
  </si>
  <si>
    <t>Personalkostenmatrix je Mandant und Kostenstelle — Basis für Personalquoten-Berechnung im Dashboard.</t>
  </si>
  <si>
    <t>ID</t>
  </si>
  <si>
    <t>Name</t>
  </si>
  <si>
    <t>Team</t>
  </si>
  <si>
    <t>Monatslohn (€)</t>
  </si>
  <si>
    <t>Std./Monat</t>
  </si>
  <si>
    <t>€/Std.</t>
  </si>
  <si>
    <t>AG-Anteil (20%)</t>
  </si>
  <si>
    <t>Gesamtkosten</t>
  </si>
  <si>
    <t>E001</t>
  </si>
  <si>
    <t>Anna Schmidt</t>
  </si>
  <si>
    <t>Dev</t>
  </si>
  <si>
    <t>E002</t>
  </si>
  <si>
    <t>Ben Müller</t>
  </si>
  <si>
    <t>Support</t>
  </si>
  <si>
    <t>E003</t>
  </si>
  <si>
    <t>Cem Yilmaz</t>
  </si>
  <si>
    <t>Sales</t>
  </si>
  <si>
    <t>Beratung</t>
  </si>
  <si>
    <t>E004</t>
  </si>
  <si>
    <t>Dana Weber</t>
  </si>
  <si>
    <t>Buchhaltung</t>
  </si>
  <si>
    <t>E101</t>
  </si>
  <si>
    <t>Erik Bauer</t>
  </si>
  <si>
    <t>Außendienst</t>
  </si>
  <si>
    <t>E102</t>
  </si>
  <si>
    <t>Fatma Kaya</t>
  </si>
  <si>
    <t>Alpha Services UG</t>
  </si>
  <si>
    <t>Service</t>
  </si>
  <si>
    <t>Consulting</t>
  </si>
  <si>
    <t>GESAMT (6 Mitarbeiter)</t>
  </si>
  <si>
    <t>KOSTENSTELLEN-AUSWERTUNG (Lohnsumme je Kostenstelle)</t>
  </si>
  <si>
    <t>📊  BWA DASHBOARD — Mustermann GmbH | Jan–Sep 2025  |  Berichtsmonat: September</t>
  </si>
  <si>
    <t>Alle Werte in Euro (€) · Quoten in % · Automatische Formelberechnung aus Rohdaten</t>
  </si>
  <si>
    <t>📈 Umsatz YTD</t>
  </si>
  <si>
    <t>💰 Rohertrag YTD</t>
  </si>
  <si>
    <t>✅ EBIT YTD</t>
  </si>
  <si>
    <t>💧 Ø Liquidität</t>
  </si>
  <si>
    <t>⏱ Cash-Reichweite</t>
  </si>
  <si>
    <t>👥 Mitarbeiter</t>
  </si>
  <si>
    <t>🎯 EBIT-Marge</t>
  </si>
  <si>
    <t>898.460 €</t>
  </si>
  <si>
    <t>594.960 €</t>
  </si>
  <si>
    <t>194.611 €</t>
  </si>
  <si>
    <t>147 %</t>
  </si>
  <si>
    <t>44 Tage</t>
  </si>
  <si>
    <t>4</t>
  </si>
  <si>
    <t>21.7 %</t>
  </si>
  <si>
    <t>▲ +11.1% vs. VJ</t>
  </si>
  <si>
    <t>▲ +11.4% vs. VJ</t>
  </si>
  <si>
    <t>▲ +10.0% vs. VJ</t>
  </si>
  <si>
    <t>▼ 0.0% vs. VJ</t>
  </si>
  <si>
    <t>▲ +8.5% vs. VJ</t>
  </si>
  <si>
    <t>Umsatz VJ</t>
  </si>
  <si>
    <t>Δ%</t>
  </si>
  <si>
    <t>Rohertrag</t>
  </si>
  <si>
    <t>RohE-Quote%</t>
  </si>
  <si>
    <t>Personal%</t>
  </si>
  <si>
    <t>EBIT</t>
  </si>
  <si>
    <t>EBIT-Marge%</t>
  </si>
  <si>
    <t>Liquidität%</t>
  </si>
  <si>
    <t>Reichweite Tage</t>
  </si>
  <si>
    <t>Jan</t>
  </si>
  <si>
    <t>Feb</t>
  </si>
  <si>
    <t>Mär</t>
  </si>
  <si>
    <t>Apr</t>
  </si>
  <si>
    <t>Mai</t>
  </si>
  <si>
    <t>Jun</t>
  </si>
  <si>
    <t>Jul</t>
  </si>
  <si>
    <t>Aug</t>
  </si>
  <si>
    <t>Sep</t>
  </si>
  <si>
    <t>YTD GESAMT / DURCHSCHNITT</t>
  </si>
  <si>
    <t>📐  KENNZAHLEN — Vollständige BWA-Ratios mit Ampelsystem</t>
  </si>
  <si>
    <t>Kennzahl</t>
  </si>
  <si>
    <t>Wert Akt.</t>
  </si>
  <si>
    <t>Wert VJ</t>
  </si>
  <si>
    <t>Δ Abs.</t>
  </si>
  <si>
    <t>Δ %</t>
  </si>
  <si>
    <t>Zielwert</t>
  </si>
  <si>
    <t>Ampel</t>
  </si>
  <si>
    <t>Interpretation &amp; Handlungsempfehlung</t>
  </si>
  <si>
    <t>Rohertragsquote</t>
  </si>
  <si>
    <t>🟢</t>
  </si>
  <si>
    <t>Anteil Rohertrag am Umsatz. &gt;65% = stabil für Dienstleister.</t>
  </si>
  <si>
    <t>EBIT-Marge</t>
  </si>
  <si>
    <t>Operativer Gewinn vor Zinsen &amp; Steuern. &gt;18% = Zielkorridor erreicht.</t>
  </si>
  <si>
    <t>Liquidität 1. Grades</t>
  </si>
  <si>
    <t>Barmittel zu kurzfristigen Verbindlichkeiten. &gt;100% = solvent.</t>
  </si>
  <si>
    <t>Liquidität 2. Grades</t>
  </si>
  <si>
    <t>Einschl. kurzfristige Forderungen. &gt;150% = komfortabel.</t>
  </si>
  <si>
    <t>Cash-Reichweite</t>
  </si>
  <si>
    <t>Wie viele Tage können laufende Kosten aus Kassenbestand gedeckt werden?</t>
  </si>
  <si>
    <t>Personalquote</t>
  </si>
  <si>
    <t>Personalkosten / Umsatz. &lt;25% = effizient. Tendenz sinkend = gut.</t>
  </si>
  <si>
    <t>Materialquote</t>
  </si>
  <si>
    <t>Wareneinsatz / Umsatz. &lt;35% = Normbereich. Einkauf prüfen.</t>
  </si>
  <si>
    <t>Sonstigenquote</t>
  </si>
  <si>
    <t>🔴</t>
  </si>
  <si>
    <t>Sonstige Kosten / Umsatz. Anstieg von +3,7 PP gegenüber VJ – Ursache klären!</t>
  </si>
  <si>
    <t>Rentabilität (RoS)</t>
  </si>
  <si>
    <t>Reingewinn / Umsatz (vereinfacht EBIT-basiert). &gt;20% = attraktiv.</t>
  </si>
  <si>
    <t>Umsatz je Mitarbeiter</t>
  </si>
  <si>
    <t>Umsatz YTD / (MA-Anzahl × Monate). Produktivitätsindikator.</t>
  </si>
  <si>
    <t>EBIT je Mitarbeiter</t>
  </si>
  <si>
    <t>EBIT YTD / (MA-Anzahl × Monate). Ertragseffizienz je Kopf.</t>
  </si>
  <si>
    <t>Deckungsbeitrag DB I</t>
  </si>
  <si>
    <t>—</t>
  </si>
  <si>
    <t>⚪</t>
  </si>
  <si>
    <t>Rohertrag gesamt YTD.</t>
  </si>
  <si>
    <t>Wachstum vs. VJ</t>
  </si>
  <si>
    <t>Umsatzwachstum gegenüber Vorjahreszeitraum (simuliert).</t>
  </si>
  <si>
    <t>📋  EXECUTIVE REPORT — Mustermann GmbH | September 2025</t>
  </si>
  <si>
    <t>Monatsbericht · Vertraulich · Erstellt mit DATEV BWA Reporting Master · thinkhub360 controllhub360</t>
  </si>
  <si>
    <t>Umsatz Sep</t>
  </si>
  <si>
    <t>Liquidität</t>
  </si>
  <si>
    <t>Reichweite</t>
  </si>
  <si>
    <t>107.070 €</t>
  </si>
  <si>
    <t>71.070 €</t>
  </si>
  <si>
    <t>22.110 €</t>
  </si>
  <si>
    <t>23.500 €</t>
  </si>
  <si>
    <t>stärkster Monat</t>
  </si>
  <si>
    <t>stabile Marge</t>
  </si>
  <si>
    <t>klar positiv</t>
  </si>
  <si>
    <t>stark</t>
  </si>
  <si>
    <t>komfortabel</t>
  </si>
  <si>
    <t>kontrolliert</t>
  </si>
  <si>
    <t>VJ-Umsatz</t>
  </si>
  <si>
    <t>RohE-%</t>
  </si>
  <si>
    <t>EBIT-%</t>
  </si>
  <si>
    <t>KI-Kommentar / Analyse</t>
  </si>
  <si>
    <t>Solider Jahresstart. Umsatz im unteren Jahreskorridor – Wareneinsatz gut kontrolliert. Personalquote 23,8% – Watch-Level.</t>
  </si>
  <si>
    <t>Leichter Umsatzanstieg (+3,5%). Sonstige Kosten +12,7% gegenüber Jan – Ursache klären (Einmalige oder Dauerposten?).</t>
  </si>
  <si>
    <t>Stärkstes Q1-Ergebnis. EBIT dennoch unter Jan/Feb durch Sonstigenanstieg. Kostenstellen IT und Sales prüfen.</t>
  </si>
  <si>
    <t>Apr: Umsatzdelle -6,3%. Personal und Wareneinsatz anteilig stabil – EBIT bleibt positiv. Typischer Saisoneffekt?</t>
  </si>
  <si>
    <t>Erholung bestätigt. Umsatz +7% vs. Apr. Sonstige wieder erhöht – dauerhafte Kostenstrukturveränderung möglich.</t>
  </si>
  <si>
    <t>Bester Monat H1. EBIT-Marge 21,0%. Liquidität erstmals &gt;140% – Handlungsspielraum für Investitionen gegeben.</t>
  </si>
  <si>
    <t>Leichter Rückgang vs. Jun (-2,3%). Feriensaison? Rohertragsmarge stabil bei 66,0%. Personal effizient.</t>
  </si>
  <si>
    <t>Aufwärtstrend bestätigt. Umsatz +3,3% vs. Jul. EBIT wächst moderat. Liquidität 145% – komfortable Pufferlage.</t>
  </si>
  <si>
    <t>Stärkstes Monatsergebnis YTD. Umsatz 107.070€, EBIT 22.110€ (20,7% Marge). Zielpfad Q4 liegt im grünen Bereich.</t>
  </si>
  <si>
    <t>YTD GESAMT (Jan–Sep 2025)</t>
  </si>
  <si>
    <t>🤖  KI-AUSWERTUNG &amp; MANAGEMENTKOMMENTAR — September 2025</t>
  </si>
  <si>
    <t>1. Geschäftsentwicklung</t>
  </si>
  <si>
    <t>September 2025 ist der stärkste Berichtsmonat YTD mit 107.070€ Umsatz (+15,9% vs. Januar). Der Wachstumspfad ist konsistent – kein Monat unter dem Vormonat ohne erklärbaren Saisoneffekt. Die Geschäftsbasis wirkt stabil und operativ beherrschbar.</t>
  </si>
  <si>
    <t>2. Ertragslage</t>
  </si>
  <si>
    <t>Rohertrag 71.070€ (66,4% Quote), EBIT 22.110€ (20,7% Marge). Beide Werte liegen im grünen Korridor. Die EBIT-Qualität ist hoch, da kein Einmalergebnis erkennbar. Wareneinsatz entwickelt sich proportional zum Umsatz – kein Margendruck von der Beschaffungsseite.</t>
  </si>
  <si>
    <t>3. Kostenbewertung</t>
  </si>
  <si>
    <t>Wareneinsatz Sep: 36.000€ (33,6% Quote – stabil). Personal: 23.500€ (22,0% Quote – leicht steigend). KRITISCH: Sonstige Kosten 25.460€ (+47,4% vs. Jan) – dieser Block wächst schneller als der Umsatz. Kostenstellen-Drill-down zwingend erforderlich für Q4-Planung.</t>
  </si>
  <si>
    <t>4. Liquidität &amp; Finanzlage</t>
  </si>
  <si>
    <t>Liquidität 1. Grades 147% – deutlich über Minimum. Cash-Reichweite 44 Tage – komfortabler Puffer. Ab ca. 60 Tagen Reichweite wäre eine Festgeld-/Anlage-Überlegung sinnvoll. Keine Anzeichen von Liquiditätsdruck erkennbar.</t>
  </si>
  <si>
    <t>5. Personalentwicklung</t>
  </si>
  <si>
    <t>4 Mitarbeiter Mustermann GmbH, Gesamtlohn 20.400€ netto (inkl. AG-Anteil ~24.480€). Gebuchter Personalaufwand 23.500€ – Differenz ca. 980€ prüfen (Aushilfen? Projektkosten?). Sales/Beratung (Cem Yilmaz, 6.100€) erzielt höchsten Umsatzbeitrag je Kopf – effizienter Einsatz.</t>
  </si>
  <si>
    <t>6. Ausblick &amp; Empfehlung Q4</t>
  </si>
  <si>
    <t>Auf Basis der positiven Entwicklung Jan–Sep 2025: Jahresumsatz ca. 1,15–1,18 Mio € realistisch (bei gleichbleibendem Wachstumspfad). EBIT-Jahreswert ca. 295–310K€ (ca. 25,5–26,5% Marge). Empfehlungen: (1) Sonstigenkosten analysieren, (2) Personal-Soll/Ist-Abgleich, (3) Liquiditätsüberschuss in Q4 strukturieren.</t>
  </si>
  <si>
    <t>🤖  KI-AUSWERTUNG — Tiefenanalyse nach Bereichen</t>
  </si>
  <si>
    <t>Bereich</t>
  </si>
  <si>
    <t>Bewertung</t>
  </si>
  <si>
    <t>Trend vs. VJ</t>
  </si>
  <si>
    <t>Maßnahme (Kurzfristig)</t>
  </si>
  <si>
    <t>KI-Tiefenanalyse</t>
  </si>
  <si>
    <t>über Ziel</t>
  </si>
  <si>
    <t>▲ +16,7%</t>
  </si>
  <si>
    <t>weiter eng überwachen</t>
  </si>
  <si>
    <t>Die EBIT-Entwicklung über Jan–Sep zeigt einen robusten Aufwärtstrend mit einer Spanne von 21.163€ bis 22.110€. Die Marge liegt konstant zwischen 20-22% und übertrifft den Branchendurchschnitt (Ø 15-17%). Risiko: Kostenstruktur der Sonstigen Kosten – hier fehlt noch eine Kostenstellen-tiefe Analyse.</t>
  </si>
  <si>
    <t>stark &amp; stabil</t>
  </si>
  <si>
    <t>▲ +12,4%</t>
  </si>
  <si>
    <t>Wareneinsatz monatlich prüfen</t>
  </si>
  <si>
    <t>Rohertrag entwickelt sich von 61.300€ (Jan) auf 71.070€ (Sep) – ein organisches Wachstum von +15,9% in 9 Monaten. Die Rohertragsquote lag stabil zwischen 64-67%. Wareneinsatzquote zeigt keine negativen Ausreißer. Empfehlung: Lieferantenkonditionen Q4 neu verhandeln.</t>
  </si>
  <si>
    <t>hoch &amp; wachsend</t>
  </si>
  <si>
    <t>▲ +12,5%</t>
  </si>
  <si>
    <t>Reserve sichern</t>
  </si>
  <si>
    <t>Liquidität 1. Grades von 128% (Jan) auf 147% (Sep) – durchgehend über der kritischen Marke von 100%. Kein Monat im Roten Bereich. Cash-Reichweite von 44 Tagen ist solide für die Betriebsgröße. Empfehlung: Ggf. Festgeldrücklage ab Q4 prüfen.</t>
  </si>
  <si>
    <t>Rentabilität</t>
  </si>
  <si>
    <t>gesund</t>
  </si>
  <si>
    <t>▲ +14,2%</t>
  </si>
  <si>
    <t>Marge verteidigen</t>
  </si>
  <si>
    <t>Gesamtrentabilität YTD 27,4% – für ein KMU herausragend. Kapitalrendite (vereinfacht) deutet auf gesundes Wachstum ohne Substanzverzehr hin. Cashflow-Qualität erscheint hoch, jedoch fehlt noch Abschreibungs-/Investitionsrechnung für vollständiges Bild.</t>
  </si>
  <si>
    <t>🟡</t>
  </si>
  <si>
    <t>unter Beobachtung</t>
  </si>
  <si>
    <t>▼ -5,0%</t>
  </si>
  <si>
    <t>Std./Teamquote analysieren</t>
  </si>
  <si>
    <t>Personalquote schwankt zwischen 21-22%. Aktuell 4 MA (Mustermann GmbH) mit Gesamtlohn 20.400€/Monat – leicht unter dem gebuchten Wert (23.500€). Differenz prüfen: Aushilfen? Arbeitgeberanteile? Team-Effizienz (Vertrieb) erscheint hoch – Sales/Beratung erzielt höchste Umsatzpro-Kopf-Quote.</t>
  </si>
  <si>
    <t>Sonstiges</t>
  </si>
  <si>
    <t>kritisch wachsend</t>
  </si>
  <si>
    <t>▼ -23,6%</t>
  </si>
  <si>
    <t>Kostenblock aufschlüsseln</t>
  </si>
  <si>
    <t>Sonstige Kosten stiegen von 17.270€ (Jan) auf 25.460€ (Sep) – ein Anstieg von +47,4%. Ohne Gegenrechnung ist dies der kritischste Kostenblock. Empfehlung: Aufschlüsselung nach Kostenstellen dringend für Oktober. Mögliche Treiber: Marketing, Software-Lizenzen, externe Dienstleister.</t>
  </si>
  <si>
    <t>🏢  KUMULIERTE &amp; FINALE DARSTELLUNG — Alle Mandanten</t>
  </si>
  <si>
    <t>Gesamtübersicht aller Mandanten in drei Sichten: Einzeln · Kumuliert · Finalbericht</t>
  </si>
  <si>
    <t>Darstellung / Mandant</t>
  </si>
  <si>
    <t>Selektion</t>
  </si>
  <si>
    <t>Umsatz YTD</t>
  </si>
  <si>
    <t>Rohertrag YTD</t>
  </si>
  <si>
    <t>EBIT YTD</t>
  </si>
  <si>
    <t>Liquidität Ø</t>
  </si>
  <si>
    <t>Kommentar</t>
  </si>
  <si>
    <t>Einzeln – Mustermann GmbH</t>
  </si>
  <si>
    <t>Aktiver Mandant</t>
  </si>
  <si>
    <t>Fokus-Mandant aus Einstellungsseite</t>
  </si>
  <si>
    <t>Kumuliert – alle aktiven Firmen</t>
  </si>
  <si>
    <t>Kum=Ja</t>
  </si>
  <si>
    <t>Gesamtkanzlei / Holdingblick</t>
  </si>
  <si>
    <t>Final – freigegebene Firmen</t>
  </si>
  <si>
    <t>Final=Ja</t>
  </si>
  <si>
    <t>Management- und Bankbericht</t>
  </si>
  <si>
    <t>MANDANTENVERGLEICH — Einzelergebnisse Jan–Sep 2025</t>
  </si>
  <si>
    <t>Ø Liquidität</t>
  </si>
  <si>
    <t>✓ Aktiv</t>
  </si>
  <si>
    <t>Beta Technik GmbH</t>
  </si>
  <si>
    <t>Gamma Holding GmbH</t>
  </si>
  <si>
    <t>✗ Inaktiv</t>
  </si>
  <si>
    <t>–</t>
  </si>
  <si>
    <t>GESAMT KUMULIERT (aktive Mandanten)</t>
  </si>
  <si>
    <t>📅  PLANUNG &amp; FORECAST — Q4 2025 &amp; Gesamtjahr 2025</t>
  </si>
  <si>
    <t>Hochrechnung auf Basis IST Jan–Sep · Planwerte für Okt–Dez · Dynamische Formelberechnung</t>
  </si>
  <si>
    <t>Typ</t>
  </si>
  <si>
    <t>Plan Umsatz</t>
  </si>
  <si>
    <t>Δ Plan%</t>
  </si>
  <si>
    <t>Szenario</t>
  </si>
  <si>
    <t>IST</t>
  </si>
  <si>
    <t>✓ Final</t>
  </si>
  <si>
    <t>Okt</t>
  </si>
  <si>
    <t>PLAN</t>
  </si>
  <si>
    <t>⚡ Plan</t>
  </si>
  <si>
    <t>Planwert Basis-Szenario: 2.7% Wachstum vs. Vormonat.</t>
  </si>
  <si>
    <t>Basis</t>
  </si>
  <si>
    <t>Nov</t>
  </si>
  <si>
    <t>Dez</t>
  </si>
  <si>
    <t>Planwert Basis-Szenario: 4.4% Wachstum vs. Vormonat.</t>
  </si>
  <si>
    <t>JAHRES-GESAMT 2025 (IST + PLAN)</t>
  </si>
  <si>
    <t>💸  KOSTENSTRUKTUR — Analyse nach Kostenart, Kostenstelle &amp; Monat</t>
  </si>
  <si>
    <t>KOSTENARTEN — Monatliche Entwicklung (€ und % vom Umsatz)</t>
  </si>
  <si>
    <t>WE-%</t>
  </si>
  <si>
    <t>Pers-%</t>
  </si>
  <si>
    <t>Sons-%</t>
  </si>
  <si>
    <t>Gesamtkostenquote%</t>
  </si>
  <si>
    <t>GESAMT YTD</t>
  </si>
  <si>
    <t>KOSTENSTELLEN-ANALYSE — Monat September 2025</t>
  </si>
  <si>
    <t>Anteil%</t>
  </si>
  <si>
    <t>Umsatzbeitrag (est.)</t>
  </si>
  <si>
    <t>Deckungs-Beitrag est.</t>
  </si>
  <si>
    <t>Effizienz-Score</t>
  </si>
  <si>
    <t>Trend</t>
  </si>
  <si>
    <t>KI-Bewertung</t>
  </si>
  <si>
    <t>Priorität</t>
  </si>
  <si>
    <t>Dev + Support</t>
  </si>
  <si>
    <t>Mittel</t>
  </si>
  <si>
    <t>➡ Stabil</t>
  </si>
  <si>
    <t>Stabile Kostenbasis. Support-Auslastung prüfen.</t>
  </si>
  <si>
    <t>Hoch</t>
  </si>
  <si>
    <t>▲ Wachsend</t>
  </si>
  <si>
    <t>Höchste Umsatzeffizienz. Kapazität skalieren?</t>
  </si>
  <si>
    <t>Intern</t>
  </si>
  <si>
    <t>Cost Center. Prozess-Automatisierung prüfen.</t>
  </si>
  <si>
    <t>Extern</t>
  </si>
  <si>
    <t>Dienstleister</t>
  </si>
  <si>
    <t>▲ Steigend</t>
  </si>
  <si>
    <t>Anstieg Sonstigenkosten – Vertrag analysieren.</t>
  </si>
  <si>
    <t>📊  GEWINN- UND VERLUSTRECHNUNG (GuV) — SUMIFS aus Rohdaten-Import · Mustermann GmbH · 2025</t>
  </si>
  <si>
    <t>#</t>
  </si>
  <si>
    <t>GuV-Position</t>
  </si>
  <si>
    <t>YTD 2025</t>
  </si>
  <si>
    <t>1</t>
  </si>
  <si>
    <t>Umsatzerlöse</t>
  </si>
  <si>
    <t>1a</t>
  </si>
  <si>
    <t>+ Sonstige Erlöse</t>
  </si>
  <si>
    <t>1b</t>
  </si>
  <si>
    <t xml:space="preserve"> = Gesamtleistung</t>
  </si>
  <si>
    <t>2</t>
  </si>
  <si>
    <t>- Wareneinsatz / Materialeinsatz</t>
  </si>
  <si>
    <t>2a</t>
  </si>
  <si>
    <t>- Fremdleistungen</t>
  </si>
  <si>
    <t xml:space="preserve"> = Rohertrag (DB I)</t>
  </si>
  <si>
    <t>3</t>
  </si>
  <si>
    <t>- Personalaufwand</t>
  </si>
  <si>
    <t>- Raumkosten</t>
  </si>
  <si>
    <t>5</t>
  </si>
  <si>
    <t>- Kfz-Kosten</t>
  </si>
  <si>
    <t>6</t>
  </si>
  <si>
    <t>- Marketing &amp; Werbung</t>
  </si>
  <si>
    <t>7</t>
  </si>
  <si>
    <t>- Reisekosten</t>
  </si>
  <si>
    <t>8</t>
  </si>
  <si>
    <t>- IT &amp; Bürokosten</t>
  </si>
  <si>
    <t>9</t>
  </si>
  <si>
    <t>- Versicherungen &amp; Beiträge</t>
  </si>
  <si>
    <t>10</t>
  </si>
  <si>
    <t>- Sonstige Betriebskosten</t>
  </si>
  <si>
    <t xml:space="preserve"> = EBITDA</t>
  </si>
  <si>
    <t>11</t>
  </si>
  <si>
    <t>- Abschreibungen (AfA)</t>
  </si>
  <si>
    <t xml:space="preserve"> = EBIT (Betriebsergebnis)</t>
  </si>
  <si>
    <t>12</t>
  </si>
  <si>
    <t>+/- Finanzergebnis</t>
  </si>
  <si>
    <t xml:space="preserve"> = EBT (Ergebnis vor Steuern)</t>
  </si>
  <si>
    <t>13</t>
  </si>
  <si>
    <t>- Steuern</t>
  </si>
  <si>
    <t xml:space="preserve"> = JAHRESÜBERSCHUSS / -FEHLBETRAG</t>
  </si>
  <si>
    <t>🏦  BILANZ-STRUKTUR — SUMIFS aus Saldenlisten-Import · Mustermann GmbH · Stand: Sep 2025</t>
  </si>
  <si>
    <t>Position</t>
  </si>
  <si>
    <t>YTD</t>
  </si>
  <si>
    <t>─── AKTIVA ───────────────────────────</t>
  </si>
  <si>
    <t>A1</t>
  </si>
  <si>
    <t>I. Anlagevermögen</t>
  </si>
  <si>
    <t>A2</t>
  </si>
  <si>
    <t xml:space="preserve">  davon: Sachanlagen</t>
  </si>
  <si>
    <t>A3</t>
  </si>
  <si>
    <t xml:space="preserve">  davon: Software / immaterielle WG</t>
  </si>
  <si>
    <t xml:space="preserve"> = A. ANLAGEVERMÖGEN GESAMT</t>
  </si>
  <si>
    <t>A4a</t>
  </si>
  <si>
    <t xml:space="preserve">  1. Vorräte</t>
  </si>
  <si>
    <t>A4b</t>
  </si>
  <si>
    <t xml:space="preserve">  2. Forderungen aus LuL</t>
  </si>
  <si>
    <t>A4c</t>
  </si>
  <si>
    <t xml:space="preserve">  3. Bankguthaben</t>
  </si>
  <si>
    <t>A4d</t>
  </si>
  <si>
    <t xml:space="preserve">  4. Kasse</t>
  </si>
  <si>
    <t>A4e</t>
  </si>
  <si>
    <t xml:space="preserve">  5. Vorsteuer</t>
  </si>
  <si>
    <t xml:space="preserve"> = B. UMLAUFVERMÖGEN GESAMT</t>
  </si>
  <si>
    <t xml:space="preserve"> = BILANZSUMME AKTIVA</t>
  </si>
  <si>
    <t>─── PASSIVA ──────────────────────────</t>
  </si>
  <si>
    <t>P1</t>
  </si>
  <si>
    <t>I. Eigenkapital (Stammkapital+Rücklagen)</t>
  </si>
  <si>
    <t xml:space="preserve"> = A. EIGENKAPITAL GESAMT</t>
  </si>
  <si>
    <t>P2</t>
  </si>
  <si>
    <t>II. Verbindlichkeiten aus LuL</t>
  </si>
  <si>
    <t>P3</t>
  </si>
  <si>
    <t xml:space="preserve">  Steuerverbindlichkeiten</t>
  </si>
  <si>
    <t>P4</t>
  </si>
  <si>
    <t xml:space="preserve">  Darlehen &amp; sonstige VB</t>
  </si>
  <si>
    <t xml:space="preserve"> = B. VERBINDLICHKEITEN GESAMT</t>
  </si>
  <si>
    <t>P5</t>
  </si>
  <si>
    <t>III. Rückstellungen</t>
  </si>
  <si>
    <t xml:space="preserve"> = BILANZSUMME PASSIVA</t>
  </si>
  <si>
    <t>Bilanzdifferenz (sollte = 0 sein)</t>
  </si>
  <si>
    <t>⚙  DATEV BWA Reporting Master — Einstellungen &amp; Mandantensteuerung</t>
  </si>
  <si>
    <t>Steuerung des Berichtsmodus, Datenquellen und Mandantenselektion — alle Auswertungen greifen auf diese Parameter zurück.</t>
  </si>
  <si>
    <t>Parameter</t>
  </si>
  <si>
    <t>Wert</t>
  </si>
  <si>
    <t>Beschreibung</t>
  </si>
  <si>
    <t>Mögliche Werte</t>
  </si>
  <si>
    <t>Beispiel</t>
  </si>
  <si>
    <t>Datenquelle BWA</t>
  </si>
  <si>
    <t>DATEV_BWA.csv</t>
  </si>
  <si>
    <t>Pfad/Dateiname der importierten BWA-CSV</t>
  </si>
  <si>
    <t>*.csv, *.xlsx</t>
  </si>
  <si>
    <t>DATEV_BWA_2025.csv</t>
  </si>
  <si>
    <t>Datenquelle Mitarbeiter</t>
  </si>
  <si>
    <t>Mitarbeiter.csv</t>
  </si>
  <si>
    <t>Pfad/Dateiname der Personal-CSV</t>
  </si>
  <si>
    <t>*.csv</t>
  </si>
  <si>
    <t>mitarbeiter_2025.csv</t>
  </si>
  <si>
    <t>Mandantenmodus</t>
  </si>
  <si>
    <t>Kumuliert</t>
  </si>
  <si>
    <t>Welche Sicht wird im Report angezeigt</t>
  </si>
  <si>
    <t>Einzeln / Kumuliert / Final</t>
  </si>
  <si>
    <t>Wird im Einzelmodus als Fokus-Mandant angezeigt</t>
  </si>
  <si>
    <t>Mandantenname aus Tabelle</t>
  </si>
  <si>
    <t>Cheftresor Solutions GmbH</t>
  </si>
  <si>
    <t>Berichtsmonat</t>
  </si>
  <si>
    <t>Sep 2025</t>
  </si>
  <si>
    <t>Monatsfokus für die Reportseite</t>
  </si>
  <si>
    <t>Mmm JJJJ</t>
  </si>
  <si>
    <t>Jun 2025</t>
  </si>
  <si>
    <t>Diagrammstil</t>
  </si>
  <si>
    <t>Executive</t>
  </si>
  <si>
    <t>Layoutvariante für Charts und Reports</t>
  </si>
  <si>
    <t>Executive / Compact / Kanzlei</t>
  </si>
  <si>
    <t>KI-Kommentar</t>
  </si>
  <si>
    <t>Automatische KI-Textauswertung ein/aus</t>
  </si>
  <si>
    <t>Aktiv / Inaktiv</t>
  </si>
  <si>
    <t>Kostenstellenanalyse</t>
  </si>
  <si>
    <t>Drill-down auf Teams und Kostenstellen</t>
  </si>
  <si>
    <t>Mandanten kumulieren</t>
  </si>
  <si>
    <t>Ja</t>
  </si>
  <si>
    <t>Zusammenfassung aller aktiven Firmen</t>
  </si>
  <si>
    <t>Ja / Nein</t>
  </si>
  <si>
    <t>Vorjahresvergleich</t>
  </si>
  <si>
    <t>VJ-Spalten in Dashboard und Bericht einblenden</t>
  </si>
  <si>
    <t>Ziel-EBIT-Marge %</t>
  </si>
  <si>
    <t>18</t>
  </si>
  <si>
    <t>Schwellwert für Ampel-Logik EBIT</t>
  </si>
  <si>
    <t>Zahl (Prozent)</t>
  </si>
  <si>
    <t>20</t>
  </si>
  <si>
    <t>Ziel-Liquidität %</t>
  </si>
  <si>
    <t>120</t>
  </si>
  <si>
    <t>Mindestziel Liquidität 1. Grades</t>
  </si>
  <si>
    <t>Zahl</t>
  </si>
  <si>
    <t>100</t>
  </si>
  <si>
    <t>MANDANTENSTEUERUNG</t>
  </si>
  <si>
    <t>Im Einzelbericht</t>
  </si>
  <si>
    <t>In Kumulierung</t>
  </si>
  <si>
    <t>Im Finalbericht</t>
  </si>
  <si>
    <t>Bemerkung</t>
  </si>
  <si>
    <t>✓ Ja</t>
  </si>
  <si>
    <t>GmbH</t>
  </si>
  <si>
    <t>Hauptmandant</t>
  </si>
  <si>
    <t>Handelsbereich</t>
  </si>
  <si>
    <t>UG</t>
  </si>
  <si>
    <t>Dienstleistung</t>
  </si>
  <si>
    <t>Nur intern</t>
  </si>
  <si>
    <t>Inaktiv / in Gründung</t>
  </si>
  <si>
    <t>Logik &amp; Hinweise</t>
  </si>
  <si>
    <t>Einzelmodus → zeigt exakt den 'Aktiven Mandanten' aus den Parametern.  |  Kumuliert → fasst alle Firmen mit Kumulierung=Ja zusammen.  |  Finalbericht → verwendet Firmen mit Final=Ja.  |  Ampelfarben basieren auf Ziel-EBIT-Marge und Ziel-Liquidität aus Parametertabelle.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</si>
</sst>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000"/>
    <numFmt numFmtId="165" formatCode="#,##0.00&quot; €&quot;;\(#,##0.00&quot; €)&quot;;\-"/>
    <numFmt numFmtId="166" formatCode="#,##0&quot; €&quot;;\-#,##0&quot; €&quot;;\-"/>
    <numFmt numFmtId="167" formatCode="#,##0&quot; €&quot;"/>
    <numFmt numFmtId="168" formatCode="0.00&quot; €&quot;"/>
    <numFmt numFmtId="169" formatCode="0.0\%"/>
    <numFmt numFmtId="170" formatCode="\+0.0&quot;% ▲&quot;;\-0.0&quot;% ▼&quot;;&quot;0.0%&quot;"/>
    <numFmt numFmtId="171" formatCode="0.0&quot; Tage&quot;"/>
    <numFmt numFmtId="172" formatCode="#,##0&quot; €&quot;;\(#,##0&quot; €)&quot;;\-"/>
  </numFmts>
  <fonts count="56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F3460"/>
      <name val="Arial"/>
      <family val="2"/>
    </font>
    <font>
      <sz val="10"/>
      <color rgb="FF444444"/>
      <name val="Arial"/>
      <family val="2"/>
    </font>
    <font>
      <b/>
      <sz val="10"/>
      <color rgb="FF006400"/>
      <name val="Arial"/>
      <family val="2"/>
    </font>
    <font>
      <b/>
      <sz val="10"/>
      <color rgb="FF8B0000"/>
      <name val="Arial"/>
      <family val="2"/>
    </font>
    <font>
      <b/>
      <sz val="9"/>
      <color rgb="FFE94560"/>
      <name val="Arial"/>
      <family val="2"/>
    </font>
    <font>
      <sz val="10"/>
      <color rgb="FF0000FF"/>
      <name val="Arial"/>
      <family val="2"/>
    </font>
    <font>
      <sz val="10"/>
      <color rgb="FF8B0000"/>
      <name val="Arial"/>
      <family val="2"/>
    </font>
    <font>
      <sz val="10"/>
      <color rgb="FF006400"/>
      <name val="Arial"/>
      <family val="2"/>
    </font>
    <font>
      <sz val="9"/>
      <color rgb="FF444444"/>
      <name val="Arial"/>
      <family val="2"/>
    </font>
    <font>
      <sz val="10"/>
      <color rgb="FF666666"/>
      <name val="Arial"/>
      <family val="2"/>
    </font>
    <font>
      <b/>
      <sz val="10"/>
      <color rgb="FF000000"/>
      <name val="Arial"/>
      <family val="2"/>
    </font>
    <font>
      <b/>
      <sz val="15"/>
      <color rgb="FFFFFFFF"/>
      <name val="Calibri"/>
      <family val="2"/>
    </font>
    <font>
      <i/>
      <sz val="9"/>
      <color rgb="FF595959"/>
      <name val="Calibri"/>
      <family val="2"/>
    </font>
    <font>
      <b/>
      <sz val="10"/>
      <color rgb="FFFFFFFF"/>
      <name val="Calibri"/>
      <family val="2"/>
    </font>
    <font>
      <sz val="10"/>
      <color rgb="FF1B2A4A"/>
      <name val="Calibri"/>
      <family val="2"/>
    </font>
    <font>
      <b/>
      <sz val="10"/>
      <color rgb="FF27AE60"/>
      <name val="Calibri"/>
      <family val="2"/>
    </font>
    <font>
      <sz val="10"/>
      <color rgb="FF2E4B8A"/>
      <name val="Calibri"/>
      <family val="2"/>
    </font>
    <font>
      <b/>
      <sz val="10"/>
      <color rgb="FF1B2A4A"/>
      <name val="Calibri"/>
      <family val="2"/>
    </font>
    <font>
      <sz val="10"/>
      <color rgb="FF595959"/>
      <name val="Calibri"/>
      <family val="2"/>
    </font>
    <font>
      <sz val="10"/>
      <color rgb="FF0000FF"/>
      <name val="Calibri"/>
      <family val="2"/>
    </font>
    <font>
      <b/>
      <sz val="11"/>
      <color rgb="FFFFFFFF"/>
      <name val="Calibri"/>
      <family val="2"/>
    </font>
    <font>
      <b/>
      <sz val="10"/>
      <color rgb="FF2E4B8A"/>
      <name val="Calibri"/>
      <family val="2"/>
    </font>
    <font>
      <b/>
      <sz val="16"/>
      <color rgb="FFFFFFFF"/>
      <name val="Calibri"/>
      <family val="2"/>
    </font>
    <font>
      <sz val="9"/>
      <color rgb="FFFFFFFF"/>
      <name val="Calibri"/>
      <family val="2"/>
    </font>
    <font>
      <i/>
      <sz val="9"/>
      <color rgb="FFFFFFFF"/>
      <name val="Calibri"/>
      <family val="2"/>
    </font>
    <font>
      <sz val="10"/>
      <color rgb="FF27AE60"/>
      <name val="Calibri"/>
      <family val="2"/>
    </font>
    <font>
      <b/>
      <sz val="11"/>
      <color rgb="FF1B2A4A"/>
      <name val="Calibri"/>
      <family val="2"/>
    </font>
    <font>
      <sz val="16"/>
      <name val="Calibri"/>
      <family val="2"/>
    </font>
    <font>
      <sz val="10"/>
      <color rgb="FFC0392B"/>
      <name val="Calibri"/>
      <family val="2"/>
    </font>
    <font>
      <sz val="9"/>
      <color rgb="FF1B2A4A"/>
      <name val="Calibri"/>
      <family val="2"/>
    </font>
    <font>
      <b/>
      <sz val="12"/>
      <color rgb="FFFFFFFF"/>
      <name val="Calibri"/>
      <family val="2"/>
    </font>
    <font>
      <sz val="18"/>
      <name val="Calibri"/>
      <family val="2"/>
    </font>
    <font>
      <sz val="9"/>
      <color rgb="FF595959"/>
      <name val="Calibri"/>
      <family val="2"/>
    </font>
    <font>
      <b/>
      <sz val="10"/>
      <color rgb="FFE67E22"/>
      <name val="Calibri"/>
      <family val="2"/>
    </font>
    <font>
      <b/>
      <sz val="10"/>
      <color rgb="FFC0392B"/>
      <name val="Calibri"/>
      <family val="2"/>
    </font>
    <font>
      <i/>
      <sz val="10"/>
      <color rgb="FF595959"/>
      <name val="Calibri"/>
      <family val="2"/>
    </font>
    <font>
      <b/>
      <sz val="10"/>
      <color rgb="FF595959"/>
      <name val="Calibri"/>
      <family val="2"/>
    </font>
    <font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27AE60"/>
      <name val="Calibri"/>
      <family val="2"/>
    </font>
    <font>
      <sz val="9"/>
      <color rgb="FF0000FF"/>
      <name val="Calibri"/>
      <family val="2"/>
    </font>
    <font>
      <sz val="8"/>
      <color rgb="FF595959"/>
      <name val="Calibri"/>
      <family val="2"/>
    </font>
    <font>
      <b/>
      <sz val="9"/>
      <color rgb="FFE67E22"/>
      <name val="Calibri"/>
      <family val="2"/>
    </font>
    <font>
      <b/>
      <sz val="10"/>
      <color rgb="FF0000FF"/>
      <name val="Calibri"/>
      <family val="2"/>
    </font>
    <font>
      <b/>
      <sz val="9"/>
      <color rgb="FF1B2A4A"/>
      <name val="Calibri"/>
      <family val="2"/>
    </font>
    <font>
      <sz val="12"/>
      <name val="Calibri"/>
      <family val="2"/>
    </font>
    <font>
      <sz val="9"/>
      <color rgb="FF888888"/>
      <name val="Arial"/>
      <family val="2"/>
    </font>
    <font>
      <sz val="10"/>
      <color rgb="FF333333"/>
      <name val="Arial"/>
      <family val="2"/>
    </font>
    <font>
      <sz val="10"/>
      <color rgb="FFFFFFFF"/>
      <name val="Arial"/>
      <family val="2"/>
    </font>
    <font>
      <b/>
      <sz val="10"/>
      <color rgb="FF4A148C"/>
      <name val="Arial"/>
      <family val="2"/>
    </font>
    <font>
      <b/>
      <sz val="10"/>
      <color rgb="FF17A589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B2A4A"/>
      </patternFill>
    </fill>
    <fill>
      <patternFill patternType="solid">
        <fgColor rgb="FF0D7377"/>
        <bgColor rgb="FF2E4B8A"/>
      </patternFill>
    </fill>
    <fill>
      <patternFill patternType="solid">
        <fgColor rgb="FFD4EDDA"/>
        <bgColor rgb="FFD5F5E3"/>
      </patternFill>
    </fill>
    <fill>
      <patternFill patternType="solid">
        <fgColor rgb="FFF0F4F8"/>
        <bgColor rgb="FFF2F2F2"/>
      </patternFill>
    </fill>
    <fill>
      <patternFill patternType="solid">
        <fgColor rgb="FFE8F5E9"/>
        <bgColor rgb="FFEBF5FB"/>
      </patternFill>
    </fill>
    <fill>
      <patternFill patternType="solid">
        <fgColor rgb="FFE3F2FD"/>
        <bgColor rgb="FFDCEEFB"/>
      </patternFill>
    </fill>
    <fill>
      <patternFill patternType="solid">
        <fgColor rgb="FFFFF8E1"/>
        <bgColor rgb="FFFFF3CD"/>
      </patternFill>
    </fill>
    <fill>
      <patternFill patternType="solid">
        <fgColor rgb="FFE94560"/>
        <bgColor rgb="FFE74C3C"/>
      </patternFill>
    </fill>
    <fill>
      <patternFill patternType="solid">
        <fgColor rgb="FFF5F5F5"/>
        <bgColor rgb="FFF2F2F2"/>
      </patternFill>
    </fill>
    <fill>
      <patternFill patternType="solid">
        <fgColor rgb="FFF8D7DA"/>
        <bgColor rgb="FFFADBD8"/>
      </patternFill>
    </fill>
    <fill>
      <patternFill patternType="solid">
        <fgColor rgb="FFFFFFFF"/>
        <bgColor rgb="FFF8F9FA"/>
      </patternFill>
    </fill>
    <fill>
      <patternFill patternType="solid">
        <fgColor rgb="FF1B2A4A"/>
        <bgColor rgb="FF16213E"/>
      </patternFill>
    </fill>
    <fill>
      <patternFill patternType="solid">
        <fgColor rgb="FFE8EDF5"/>
        <bgColor rgb="FFE3F2FD"/>
      </patternFill>
    </fill>
    <fill>
      <patternFill patternType="solid">
        <fgColor rgb="FF2E4B8A"/>
        <bgColor rgb="FF444444"/>
      </patternFill>
    </fill>
    <fill>
      <patternFill patternType="solid">
        <fgColor rgb="FFF2F2F2"/>
        <bgColor rgb="FFF0F4F8"/>
      </patternFill>
    </fill>
    <fill>
      <patternFill patternType="solid">
        <fgColor rgb="FFD5F5E3"/>
        <bgColor rgb="FFD4EDDA"/>
      </patternFill>
    </fill>
    <fill>
      <patternFill patternType="solid">
        <fgColor rgb="FFFFF3CD"/>
        <bgColor rgb="FFFDEBD0"/>
      </patternFill>
    </fill>
    <fill>
      <patternFill patternType="solid">
        <fgColor rgb="FF17A589"/>
        <bgColor rgb="FF27AE60"/>
      </patternFill>
    </fill>
    <fill>
      <patternFill patternType="solid">
        <fgColor rgb="FF27AE60"/>
        <bgColor rgb="FF17A589"/>
      </patternFill>
    </fill>
    <fill>
      <patternFill patternType="solid">
        <fgColor rgb="FF4472C4"/>
        <bgColor rgb="FF666666"/>
      </patternFill>
    </fill>
    <fill>
      <patternFill patternType="solid">
        <fgColor rgb="FFE67E22"/>
        <bgColor rgb="FFE74C3C"/>
      </patternFill>
    </fill>
    <fill>
      <patternFill patternType="solid">
        <fgColor rgb="FFEBF5FB"/>
        <bgColor rgb="FFF0F4F8"/>
      </patternFill>
    </fill>
    <fill>
      <patternFill patternType="solid">
        <fgColor rgb="FFFADBD8"/>
        <bgColor rgb="FFF8D7DA"/>
      </patternFill>
    </fill>
    <fill>
      <patternFill patternType="solid">
        <fgColor rgb="FF595959"/>
        <bgColor rgb="FF666666"/>
      </patternFill>
    </fill>
    <fill>
      <patternFill patternType="solid">
        <fgColor rgb="FFF8F9FA"/>
        <bgColor rgb="FFF5F5F5"/>
      </patternFill>
    </fill>
    <fill>
      <patternFill patternType="solid">
        <fgColor rgb="FFFDEBD0"/>
        <bgColor rgb="FFFFF3CD"/>
      </patternFill>
    </fill>
    <fill>
      <patternFill patternType="solid">
        <fgColor rgb="FFEEF2FF"/>
        <bgColor rgb="FFF0F4F8"/>
      </patternFill>
    </fill>
    <fill>
      <patternFill patternType="solid">
        <fgColor rgb="FFC8E6C9"/>
        <bgColor rgb="FFD4EDDA"/>
      </patternFill>
    </fill>
    <fill>
      <patternFill patternType="solid">
        <fgColor rgb="FFB3D9FF"/>
        <bgColor rgb="FFBBDEFB"/>
      </patternFill>
    </fill>
    <fill>
      <patternFill patternType="solid">
        <fgColor rgb="FFFFE0E0"/>
        <bgColor rgb="FFFCE4EC"/>
      </patternFill>
    </fill>
    <fill>
      <patternFill patternType="solid">
        <fgColor rgb="FFDCEEFB"/>
        <bgColor rgb="FFE3F2FD"/>
      </patternFill>
    </fill>
    <fill>
      <patternFill patternType="solid">
        <fgColor rgb="FFF5E6FF"/>
        <bgColor rgb="FFF3E5F5"/>
      </patternFill>
    </fill>
    <fill>
      <patternFill patternType="solid">
        <fgColor rgb="FFFCE4EC"/>
        <bgColor rgb="FFFFE0E0"/>
      </patternFill>
    </fill>
    <fill>
      <patternFill patternType="solid">
        <fgColor rgb="FFF0F8FF"/>
        <bgColor rgb="FFEBF5FB"/>
      </patternFill>
    </fill>
    <fill>
      <patternFill patternType="solid">
        <fgColor rgb="FFBBDEFB"/>
        <bgColor rgb="FFB3D9FF"/>
      </patternFill>
    </fill>
    <fill>
      <patternFill patternType="solid">
        <fgColor rgb="FFD1D9E6"/>
        <bgColor rgb="FFE0E0E0"/>
      </patternFill>
    </fill>
    <fill>
      <patternFill patternType="solid">
        <fgColor rgb="FF1A237E"/>
        <bgColor rgb="FF0F3460"/>
      </patternFill>
    </fill>
    <fill>
      <patternFill patternType="solid">
        <fgColor rgb="FF4A148C"/>
        <bgColor rgb="FF1A237E"/>
      </patternFill>
    </fill>
    <fill>
      <patternFill patternType="solid">
        <fgColor rgb="FFF3E5F5"/>
        <bgColor rgb="FFF5E6FF"/>
      </patternFill>
    </fill>
    <fill>
      <patternFill patternType="solid">
        <fgColor rgb="FFCE93D8"/>
        <bgColor rgb="FFEF9A9A"/>
      </patternFill>
    </fill>
    <fill>
      <patternFill patternType="solid">
        <fgColor rgb="FFEF9A9A"/>
        <bgColor rgb="FFCE93D8"/>
      </patternFill>
    </fill>
  </fills>
  <borders count="8">
    <border>
      <left/>
      <right/>
      <top/>
      <bottom/>
      <diagonal/>
    </border>
    <border>
      <left style="thin">
        <color rgb="FFD1D9E6"/>
      </left>
      <right/>
      <top style="thin">
        <color rgb="FFD1D9E6"/>
      </top>
      <bottom style="thin">
        <color rgb="FFD1D9E6"/>
      </bottom>
      <diagonal/>
    </border>
    <border>
      <left/>
      <right/>
      <top style="thin">
        <color rgb="FFD1D9E6"/>
      </top>
      <bottom style="thin">
        <color rgb="FFD1D9E6"/>
      </bottom>
      <diagonal/>
    </border>
    <border>
      <left/>
      <right style="thin">
        <color rgb="FFD1D9E6"/>
      </right>
      <top style="thin">
        <color rgb="FFD1D9E6"/>
      </top>
      <bottom style="thin">
        <color rgb="FFD1D9E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17A589"/>
      </left>
      <right style="medium">
        <color rgb="FF17A589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3">
    <xf numFmtId="0" fontId="0" fillId="0" borderId="0" xfId="0"/>
    <xf numFmtId="0" fontId="28" fillId="22" borderId="0" xfId="0" applyFont="1" applyFill="1" applyAlignment="1">
      <alignment horizontal="center" vertical="center"/>
    </xf>
    <xf numFmtId="0" fontId="28" fillId="21" borderId="0" xfId="0" applyFont="1" applyFill="1" applyAlignment="1">
      <alignment horizontal="center" vertical="center"/>
    </xf>
    <xf numFmtId="0" fontId="28" fillId="16" borderId="0" xfId="0" applyFont="1" applyFill="1" applyAlignment="1">
      <alignment horizontal="center" vertical="center"/>
    </xf>
    <xf numFmtId="0" fontId="28" fillId="20" borderId="0" xfId="0" applyFont="1" applyFill="1" applyAlignment="1">
      <alignment horizontal="center" vertical="center"/>
    </xf>
    <xf numFmtId="0" fontId="17" fillId="15" borderId="0" xfId="0" applyFont="1" applyFill="1" applyAlignment="1">
      <alignment horizontal="center" vertical="center"/>
    </xf>
    <xf numFmtId="0" fontId="27" fillId="14" borderId="0" xfId="0" applyFont="1" applyFill="1" applyAlignment="1">
      <alignment horizontal="center" vertical="center"/>
    </xf>
    <xf numFmtId="0" fontId="25" fillId="16" borderId="6" xfId="0" applyFont="1" applyFill="1" applyBorder="1" applyAlignment="1">
      <alignment horizontal="left" vertical="center"/>
    </xf>
    <xf numFmtId="0" fontId="25" fillId="14" borderId="0" xfId="0" applyFont="1" applyFill="1" applyAlignment="1">
      <alignment horizontal="left" vertical="center"/>
    </xf>
    <xf numFmtId="0" fontId="18" fillId="14" borderId="0" xfId="0" applyFont="1" applyFill="1" applyAlignment="1">
      <alignment horizontal="left" vertical="center"/>
    </xf>
    <xf numFmtId="0" fontId="17" fillId="15" borderId="0" xfId="0" applyFont="1" applyFill="1" applyAlignment="1">
      <alignment horizontal="left" vertical="center"/>
    </xf>
    <xf numFmtId="0" fontId="16" fillId="14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4" fontId="4" fillId="8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4" fillId="9" borderId="2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1" fillId="5" borderId="2" xfId="0" applyNumberFormat="1" applyFont="1" applyFill="1" applyBorder="1" applyAlignment="1">
      <alignment horizontal="center" vertical="center"/>
    </xf>
    <xf numFmtId="165" fontId="12" fillId="5" borderId="2" xfId="0" applyNumberFormat="1" applyFont="1" applyFill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left" vertical="center"/>
    </xf>
    <xf numFmtId="0" fontId="14" fillId="5" borderId="2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left" vertical="center"/>
    </xf>
    <xf numFmtId="164" fontId="10" fillId="12" borderId="2" xfId="0" applyNumberFormat="1" applyFont="1" applyFill="1" applyBorder="1" applyAlignment="1">
      <alignment horizontal="center" vertical="center"/>
    </xf>
    <xf numFmtId="165" fontId="11" fillId="12" borderId="2" xfId="0" applyNumberFormat="1" applyFont="1" applyFill="1" applyBorder="1" applyAlignment="1">
      <alignment horizontal="center" vertical="center"/>
    </xf>
    <xf numFmtId="165" fontId="12" fillId="12" borderId="2" xfId="0" applyNumberFormat="1" applyFont="1" applyFill="1" applyBorder="1" applyAlignment="1">
      <alignment horizontal="center" vertical="center"/>
    </xf>
    <xf numFmtId="165" fontId="8" fillId="12" borderId="2" xfId="0" applyNumberFormat="1" applyFont="1" applyFill="1" applyBorder="1" applyAlignment="1">
      <alignment horizontal="center" vertical="center"/>
    </xf>
    <xf numFmtId="165" fontId="4" fillId="12" borderId="2" xfId="0" applyNumberFormat="1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left" vertical="center"/>
    </xf>
    <xf numFmtId="164" fontId="10" fillId="13" borderId="2" xfId="0" applyNumberFormat="1" applyFont="1" applyFill="1" applyBorder="1" applyAlignment="1">
      <alignment horizontal="center" vertical="center"/>
    </xf>
    <xf numFmtId="165" fontId="11" fillId="13" borderId="2" xfId="0" applyNumberFormat="1" applyFont="1" applyFill="1" applyBorder="1" applyAlignment="1">
      <alignment horizontal="center" vertical="center"/>
    </xf>
    <xf numFmtId="165" fontId="12" fillId="13" borderId="2" xfId="0" applyNumberFormat="1" applyFont="1" applyFill="1" applyBorder="1" applyAlignment="1">
      <alignment horizontal="center" vertical="center"/>
    </xf>
    <xf numFmtId="165" fontId="15" fillId="13" borderId="2" xfId="0" applyNumberFormat="1" applyFont="1" applyFill="1" applyBorder="1" applyAlignment="1">
      <alignment horizontal="center" vertical="center"/>
    </xf>
    <xf numFmtId="165" fontId="4" fillId="13" borderId="2" xfId="0" applyNumberFormat="1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18" fillId="16" borderId="4" xfId="0" applyFont="1" applyFill="1" applyBorder="1" applyAlignment="1">
      <alignment horizontal="center" vertical="center"/>
    </xf>
    <xf numFmtId="0" fontId="19" fillId="17" borderId="5" xfId="0" applyFont="1" applyFill="1" applyBorder="1" applyAlignment="1">
      <alignment horizontal="center" vertical="center"/>
    </xf>
    <xf numFmtId="0" fontId="19" fillId="17" borderId="5" xfId="0" applyFont="1" applyFill="1" applyBorder="1" applyAlignment="1">
      <alignment horizontal="left" vertical="center"/>
    </xf>
    <xf numFmtId="166" fontId="19" fillId="17" borderId="5" xfId="0" applyNumberFormat="1" applyFont="1" applyFill="1" applyBorder="1" applyAlignment="1">
      <alignment horizontal="right" vertical="center"/>
    </xf>
    <xf numFmtId="0" fontId="20" fillId="18" borderId="4" xfId="0" applyFont="1" applyFill="1" applyBorder="1" applyAlignment="1">
      <alignment horizontal="center" vertical="center"/>
    </xf>
    <xf numFmtId="0" fontId="19" fillId="13" borderId="5" xfId="0" applyFont="1" applyFill="1" applyBorder="1" applyAlignment="1">
      <alignment horizontal="center" vertical="center"/>
    </xf>
    <xf numFmtId="0" fontId="19" fillId="13" borderId="5" xfId="0" applyFont="1" applyFill="1" applyBorder="1" applyAlignment="1">
      <alignment horizontal="left" vertical="center"/>
    </xf>
    <xf numFmtId="166" fontId="19" fillId="13" borderId="5" xfId="0" applyNumberFormat="1" applyFont="1" applyFill="1" applyBorder="1" applyAlignment="1">
      <alignment horizontal="right" vertical="center"/>
    </xf>
    <xf numFmtId="167" fontId="18" fillId="14" borderId="0" xfId="0" applyNumberFormat="1" applyFont="1" applyFill="1" applyAlignment="1">
      <alignment horizontal="right" vertical="center"/>
    </xf>
    <xf numFmtId="0" fontId="21" fillId="17" borderId="5" xfId="0" applyFont="1" applyFill="1" applyBorder="1" applyAlignment="1">
      <alignment horizontal="center" vertical="center"/>
    </xf>
    <xf numFmtId="0" fontId="22" fillId="17" borderId="5" xfId="0" applyFont="1" applyFill="1" applyBorder="1" applyAlignment="1">
      <alignment horizontal="left" vertical="center"/>
    </xf>
    <xf numFmtId="0" fontId="23" fillId="17" borderId="5" xfId="0" applyFont="1" applyFill="1" applyBorder="1" applyAlignment="1">
      <alignment horizontal="left" vertical="center"/>
    </xf>
    <xf numFmtId="166" fontId="22" fillId="17" borderId="5" xfId="0" applyNumberFormat="1" applyFont="1" applyFill="1" applyBorder="1" applyAlignment="1">
      <alignment horizontal="right" vertical="center"/>
    </xf>
    <xf numFmtId="168" fontId="24" fillId="17" borderId="4" xfId="0" applyNumberFormat="1" applyFont="1" applyFill="1" applyBorder="1" applyAlignment="1">
      <alignment horizontal="right" vertical="center"/>
    </xf>
    <xf numFmtId="167" fontId="24" fillId="17" borderId="4" xfId="0" applyNumberFormat="1" applyFont="1" applyFill="1" applyBorder="1" applyAlignment="1">
      <alignment horizontal="right" vertical="center"/>
    </xf>
    <xf numFmtId="167" fontId="22" fillId="19" borderId="4" xfId="0" applyNumberFormat="1" applyFont="1" applyFill="1" applyBorder="1" applyAlignment="1">
      <alignment horizontal="right" vertical="center"/>
    </xf>
    <xf numFmtId="0" fontId="21" fillId="13" borderId="5" xfId="0" applyFont="1" applyFill="1" applyBorder="1" applyAlignment="1">
      <alignment horizontal="center" vertical="center"/>
    </xf>
    <xf numFmtId="0" fontId="22" fillId="13" borderId="5" xfId="0" applyFont="1" applyFill="1" applyBorder="1" applyAlignment="1">
      <alignment horizontal="left" vertical="center"/>
    </xf>
    <xf numFmtId="0" fontId="23" fillId="13" borderId="5" xfId="0" applyFont="1" applyFill="1" applyBorder="1" applyAlignment="1">
      <alignment horizontal="left" vertical="center"/>
    </xf>
    <xf numFmtId="166" fontId="22" fillId="13" borderId="5" xfId="0" applyNumberFormat="1" applyFont="1" applyFill="1" applyBorder="1" applyAlignment="1">
      <alignment horizontal="right" vertical="center"/>
    </xf>
    <xf numFmtId="168" fontId="24" fillId="13" borderId="4" xfId="0" applyNumberFormat="1" applyFont="1" applyFill="1" applyBorder="1" applyAlignment="1">
      <alignment horizontal="right" vertical="center"/>
    </xf>
    <xf numFmtId="167" fontId="24" fillId="13" borderId="4" xfId="0" applyNumberFormat="1" applyFont="1" applyFill="1" applyBorder="1" applyAlignment="1">
      <alignment horizontal="right" vertical="center"/>
    </xf>
    <xf numFmtId="0" fontId="25" fillId="14" borderId="0" xfId="0" applyFont="1" applyFill="1" applyAlignment="1">
      <alignment horizontal="left" vertical="center"/>
    </xf>
    <xf numFmtId="167" fontId="25" fillId="14" borderId="0" xfId="0" applyNumberFormat="1" applyFont="1" applyFill="1" applyAlignment="1">
      <alignment horizontal="right" vertical="center"/>
    </xf>
    <xf numFmtId="0" fontId="26" fillId="13" borderId="5" xfId="0" applyFont="1" applyFill="1" applyBorder="1" applyAlignment="1">
      <alignment horizontal="left" vertical="center"/>
    </xf>
    <xf numFmtId="169" fontId="19" fillId="13" borderId="5" xfId="0" applyNumberFormat="1" applyFont="1" applyFill="1" applyBorder="1" applyAlignment="1">
      <alignment horizontal="right" vertical="center"/>
    </xf>
    <xf numFmtId="0" fontId="26" fillId="17" borderId="5" xfId="0" applyFont="1" applyFill="1" applyBorder="1" applyAlignment="1">
      <alignment horizontal="left" vertical="center"/>
    </xf>
    <xf numFmtId="169" fontId="19" fillId="17" borderId="5" xfId="0" applyNumberFormat="1" applyFont="1" applyFill="1" applyBorder="1" applyAlignment="1">
      <alignment horizontal="right" vertical="center"/>
    </xf>
    <xf numFmtId="166" fontId="23" fillId="17" borderId="5" xfId="0" applyNumberFormat="1" applyFont="1" applyFill="1" applyBorder="1" applyAlignment="1">
      <alignment horizontal="right" vertical="center"/>
    </xf>
    <xf numFmtId="170" fontId="24" fillId="17" borderId="4" xfId="0" applyNumberFormat="1" applyFont="1" applyFill="1" applyBorder="1" applyAlignment="1">
      <alignment horizontal="right" vertical="center"/>
    </xf>
    <xf numFmtId="169" fontId="24" fillId="17" borderId="4" xfId="0" applyNumberFormat="1" applyFont="1" applyFill="1" applyBorder="1" applyAlignment="1">
      <alignment horizontal="right" vertical="center"/>
    </xf>
    <xf numFmtId="166" fontId="30" fillId="17" borderId="5" xfId="0" applyNumberFormat="1" applyFont="1" applyFill="1" applyBorder="1" applyAlignment="1">
      <alignment horizontal="right" vertical="center"/>
    </xf>
    <xf numFmtId="166" fontId="23" fillId="13" borderId="5" xfId="0" applyNumberFormat="1" applyFont="1" applyFill="1" applyBorder="1" applyAlignment="1">
      <alignment horizontal="right" vertical="center"/>
    </xf>
    <xf numFmtId="170" fontId="24" fillId="13" borderId="4" xfId="0" applyNumberFormat="1" applyFont="1" applyFill="1" applyBorder="1" applyAlignment="1">
      <alignment horizontal="right" vertical="center"/>
    </xf>
    <xf numFmtId="169" fontId="24" fillId="13" borderId="4" xfId="0" applyNumberFormat="1" applyFont="1" applyFill="1" applyBorder="1" applyAlignment="1">
      <alignment horizontal="right" vertical="center"/>
    </xf>
    <xf numFmtId="166" fontId="30" fillId="13" borderId="5" xfId="0" applyNumberFormat="1" applyFont="1" applyFill="1" applyBorder="1" applyAlignment="1">
      <alignment horizontal="right" vertical="center"/>
    </xf>
    <xf numFmtId="0" fontId="22" fillId="24" borderId="5" xfId="0" applyFont="1" applyFill="1" applyBorder="1" applyAlignment="1">
      <alignment horizontal="center" vertical="center"/>
    </xf>
    <xf numFmtId="166" fontId="22" fillId="24" borderId="5" xfId="0" applyNumberFormat="1" applyFont="1" applyFill="1" applyBorder="1" applyAlignment="1">
      <alignment horizontal="right" vertical="center"/>
    </xf>
    <xf numFmtId="166" fontId="23" fillId="24" borderId="5" xfId="0" applyNumberFormat="1" applyFont="1" applyFill="1" applyBorder="1" applyAlignment="1">
      <alignment horizontal="right" vertical="center"/>
    </xf>
    <xf numFmtId="170" fontId="24" fillId="24" borderId="4" xfId="0" applyNumberFormat="1" applyFont="1" applyFill="1" applyBorder="1" applyAlignment="1">
      <alignment horizontal="right" vertical="center"/>
    </xf>
    <xf numFmtId="166" fontId="19" fillId="24" borderId="5" xfId="0" applyNumberFormat="1" applyFont="1" applyFill="1" applyBorder="1" applyAlignment="1">
      <alignment horizontal="right" vertical="center"/>
    </xf>
    <xf numFmtId="169" fontId="24" fillId="24" borderId="4" xfId="0" applyNumberFormat="1" applyFont="1" applyFill="1" applyBorder="1" applyAlignment="1">
      <alignment horizontal="right" vertical="center"/>
    </xf>
    <xf numFmtId="166" fontId="20" fillId="24" borderId="5" xfId="0" applyNumberFormat="1" applyFont="1" applyFill="1" applyBorder="1" applyAlignment="1">
      <alignment horizontal="right" vertical="center"/>
    </xf>
    <xf numFmtId="169" fontId="19" fillId="24" borderId="5" xfId="0" applyNumberFormat="1" applyFont="1" applyFill="1" applyBorder="1" applyAlignment="1">
      <alignment horizontal="right" vertical="center"/>
    </xf>
    <xf numFmtId="0" fontId="19" fillId="24" borderId="5" xfId="0" applyFont="1" applyFill="1" applyBorder="1" applyAlignment="1">
      <alignment horizontal="center" vertical="center"/>
    </xf>
    <xf numFmtId="169" fontId="25" fillId="14" borderId="0" xfId="0" applyNumberFormat="1" applyFont="1" applyFill="1" applyAlignment="1">
      <alignment horizontal="right" vertical="center"/>
    </xf>
    <xf numFmtId="1" fontId="25" fillId="14" borderId="0" xfId="0" applyNumberFormat="1" applyFont="1" applyFill="1" applyAlignment="1">
      <alignment horizontal="right" vertical="center"/>
    </xf>
    <xf numFmtId="169" fontId="31" fillId="19" borderId="4" xfId="0" applyNumberFormat="1" applyFont="1" applyFill="1" applyBorder="1" applyAlignment="1">
      <alignment horizontal="right" vertical="center"/>
    </xf>
    <xf numFmtId="169" fontId="23" fillId="13" borderId="4" xfId="0" applyNumberFormat="1" applyFont="1" applyFill="1" applyBorder="1" applyAlignment="1">
      <alignment horizontal="right" vertical="center"/>
    </xf>
    <xf numFmtId="169" fontId="30" fillId="18" borderId="4" xfId="0" applyNumberFormat="1" applyFont="1" applyFill="1" applyBorder="1" applyAlignment="1">
      <alignment horizontal="right" vertical="center"/>
    </xf>
    <xf numFmtId="0" fontId="32" fillId="18" borderId="4" xfId="0" applyFont="1" applyFill="1" applyBorder="1" applyAlignment="1">
      <alignment horizontal="center" vertical="center"/>
    </xf>
    <xf numFmtId="0" fontId="17" fillId="13" borderId="4" xfId="0" applyFont="1" applyFill="1" applyBorder="1" applyAlignment="1">
      <alignment horizontal="left" vertical="center" wrapText="1"/>
    </xf>
    <xf numFmtId="169" fontId="23" fillId="17" borderId="4" xfId="0" applyNumberFormat="1" applyFont="1" applyFill="1" applyBorder="1" applyAlignment="1">
      <alignment horizontal="right" vertical="center"/>
    </xf>
    <xf numFmtId="0" fontId="17" fillId="17" borderId="4" xfId="0" applyFont="1" applyFill="1" applyBorder="1" applyAlignment="1">
      <alignment horizontal="left" vertical="center" wrapText="1"/>
    </xf>
    <xf numFmtId="171" fontId="31" fillId="19" borderId="4" xfId="0" applyNumberFormat="1" applyFont="1" applyFill="1" applyBorder="1" applyAlignment="1">
      <alignment horizontal="right" vertical="center"/>
    </xf>
    <xf numFmtId="171" fontId="23" fillId="13" borderId="4" xfId="0" applyNumberFormat="1" applyFont="1" applyFill="1" applyBorder="1" applyAlignment="1">
      <alignment horizontal="right" vertical="center"/>
    </xf>
    <xf numFmtId="171" fontId="30" fillId="18" borderId="4" xfId="0" applyNumberFormat="1" applyFont="1" applyFill="1" applyBorder="1" applyAlignment="1">
      <alignment horizontal="right" vertical="center"/>
    </xf>
    <xf numFmtId="169" fontId="33" fillId="25" borderId="4" xfId="0" applyNumberFormat="1" applyFont="1" applyFill="1" applyBorder="1" applyAlignment="1">
      <alignment horizontal="right" vertical="center"/>
    </xf>
    <xf numFmtId="0" fontId="32" fillId="25" borderId="4" xfId="0" applyFont="1" applyFill="1" applyBorder="1" applyAlignment="1">
      <alignment horizontal="center" vertical="center"/>
    </xf>
    <xf numFmtId="167" fontId="31" fillId="19" borderId="4" xfId="0" applyNumberFormat="1" applyFont="1" applyFill="1" applyBorder="1" applyAlignment="1">
      <alignment horizontal="right" vertical="center"/>
    </xf>
    <xf numFmtId="167" fontId="23" fillId="17" borderId="4" xfId="0" applyNumberFormat="1" applyFont="1" applyFill="1" applyBorder="1" applyAlignment="1">
      <alignment horizontal="right" vertical="center"/>
    </xf>
    <xf numFmtId="167" fontId="30" fillId="18" borderId="4" xfId="0" applyNumberFormat="1" applyFont="1" applyFill="1" applyBorder="1" applyAlignment="1">
      <alignment horizontal="right" vertical="center"/>
    </xf>
    <xf numFmtId="167" fontId="23" fillId="13" borderId="4" xfId="0" applyNumberFormat="1" applyFont="1" applyFill="1" applyBorder="1" applyAlignment="1">
      <alignment horizontal="right" vertical="center"/>
    </xf>
    <xf numFmtId="0" fontId="23" fillId="13" borderId="5" xfId="0" applyFont="1" applyFill="1" applyBorder="1" applyAlignment="1">
      <alignment horizontal="center" vertical="center"/>
    </xf>
    <xf numFmtId="0" fontId="34" fillId="17" borderId="4" xfId="0" applyFont="1" applyFill="1" applyBorder="1" applyAlignment="1">
      <alignment horizontal="left" vertical="center" wrapText="1"/>
    </xf>
    <xf numFmtId="0" fontId="34" fillId="13" borderId="4" xfId="0" applyFont="1" applyFill="1" applyBorder="1" applyAlignment="1">
      <alignment horizontal="left" vertical="center" wrapText="1"/>
    </xf>
    <xf numFmtId="0" fontId="34" fillId="24" borderId="4" xfId="0" applyFont="1" applyFill="1" applyBorder="1" applyAlignment="1">
      <alignment horizontal="left" vertical="center" wrapText="1"/>
    </xf>
    <xf numFmtId="0" fontId="31" fillId="18" borderId="4" xfId="0" applyFont="1" applyFill="1" applyBorder="1" applyAlignment="1">
      <alignment horizontal="center" vertical="center"/>
    </xf>
    <xf numFmtId="0" fontId="36" fillId="18" borderId="4" xfId="0" applyFont="1" applyFill="1" applyBorder="1" applyAlignment="1">
      <alignment horizontal="center" vertical="center"/>
    </xf>
    <xf numFmtId="0" fontId="20" fillId="13" borderId="4" xfId="0" applyFont="1" applyFill="1" applyBorder="1" applyAlignment="1">
      <alignment horizontal="center" vertical="center"/>
    </xf>
    <xf numFmtId="0" fontId="37" fillId="13" borderId="4" xfId="0" applyFont="1" applyFill="1" applyBorder="1" applyAlignment="1">
      <alignment horizontal="left" vertical="top" wrapText="1"/>
    </xf>
    <xf numFmtId="0" fontId="20" fillId="17" borderId="4" xfId="0" applyFont="1" applyFill="1" applyBorder="1" applyAlignment="1">
      <alignment horizontal="center" vertical="center"/>
    </xf>
    <xf numFmtId="0" fontId="37" fillId="17" borderId="4" xfId="0" applyFont="1" applyFill="1" applyBorder="1" applyAlignment="1">
      <alignment horizontal="left" vertical="top" wrapText="1"/>
    </xf>
    <xf numFmtId="0" fontId="31" fillId="28" borderId="4" xfId="0" applyFont="1" applyFill="1" applyBorder="1" applyAlignment="1">
      <alignment horizontal="center" vertical="center"/>
    </xf>
    <xf numFmtId="0" fontId="36" fillId="28" borderId="4" xfId="0" applyFont="1" applyFill="1" applyBorder="1" applyAlignment="1">
      <alignment horizontal="center" vertical="center"/>
    </xf>
    <xf numFmtId="0" fontId="38" fillId="13" borderId="4" xfId="0" applyFont="1" applyFill="1" applyBorder="1" applyAlignment="1">
      <alignment horizontal="center" vertical="center"/>
    </xf>
    <xf numFmtId="0" fontId="39" fillId="25" borderId="4" xfId="0" applyFont="1" applyFill="1" applyBorder="1" applyAlignment="1">
      <alignment horizontal="center" vertical="center"/>
    </xf>
    <xf numFmtId="0" fontId="31" fillId="25" borderId="4" xfId="0" applyFont="1" applyFill="1" applyBorder="1" applyAlignment="1">
      <alignment horizontal="center" vertical="center"/>
    </xf>
    <xf numFmtId="0" fontId="36" fillId="25" borderId="4" xfId="0" applyFont="1" applyFill="1" applyBorder="1" applyAlignment="1">
      <alignment horizontal="center" vertical="center"/>
    </xf>
    <xf numFmtId="0" fontId="39" fillId="17" borderId="4" xfId="0" applyFont="1" applyFill="1" applyBorder="1" applyAlignment="1">
      <alignment horizontal="center" vertical="center"/>
    </xf>
    <xf numFmtId="0" fontId="25" fillId="20" borderId="4" xfId="0" applyFont="1" applyFill="1" applyBorder="1" applyAlignment="1">
      <alignment horizontal="left" vertical="center"/>
    </xf>
    <xf numFmtId="0" fontId="23" fillId="17" borderId="5" xfId="0" applyFont="1" applyFill="1" applyBorder="1" applyAlignment="1">
      <alignment horizontal="center" vertical="center"/>
    </xf>
    <xf numFmtId="166" fontId="20" fillId="17" borderId="5" xfId="0" applyNumberFormat="1" applyFont="1" applyFill="1" applyBorder="1" applyAlignment="1">
      <alignment horizontal="right" vertical="center"/>
    </xf>
    <xf numFmtId="0" fontId="40" fillId="17" borderId="5" xfId="0" applyFont="1" applyFill="1" applyBorder="1" applyAlignment="1">
      <alignment horizontal="left" vertical="center"/>
    </xf>
    <xf numFmtId="0" fontId="25" fillId="16" borderId="4" xfId="0" applyFont="1" applyFill="1" applyBorder="1" applyAlignment="1">
      <alignment horizontal="left" vertical="center"/>
    </xf>
    <xf numFmtId="166" fontId="20" fillId="13" borderId="5" xfId="0" applyNumberFormat="1" applyFont="1" applyFill="1" applyBorder="1" applyAlignment="1">
      <alignment horizontal="right" vertical="center"/>
    </xf>
    <xf numFmtId="0" fontId="40" fillId="13" borderId="5" xfId="0" applyFont="1" applyFill="1" applyBorder="1" applyAlignment="1">
      <alignment horizontal="left" vertical="center"/>
    </xf>
    <xf numFmtId="0" fontId="25" fillId="14" borderId="4" xfId="0" applyFont="1" applyFill="1" applyBorder="1" applyAlignment="1">
      <alignment horizontal="left" vertical="center"/>
    </xf>
    <xf numFmtId="0" fontId="18" fillId="22" borderId="4" xfId="0" applyFont="1" applyFill="1" applyBorder="1" applyAlignment="1">
      <alignment horizontal="center" vertical="center"/>
    </xf>
    <xf numFmtId="0" fontId="41" fillId="17" borderId="4" xfId="0" applyFont="1" applyFill="1" applyBorder="1" applyAlignment="1">
      <alignment horizontal="center" vertical="center"/>
    </xf>
    <xf numFmtId="0" fontId="42" fillId="14" borderId="0" xfId="0" applyFont="1" applyFill="1" applyAlignment="1">
      <alignment horizontal="center" vertical="center"/>
    </xf>
    <xf numFmtId="0" fontId="43" fillId="16" borderId="4" xfId="0" applyFont="1" applyFill="1" applyBorder="1" applyAlignment="1">
      <alignment horizontal="center" vertical="center"/>
    </xf>
    <xf numFmtId="0" fontId="44" fillId="18" borderId="4" xfId="0" applyFont="1" applyFill="1" applyBorder="1" applyAlignment="1">
      <alignment horizontal="center" vertical="center"/>
    </xf>
    <xf numFmtId="167" fontId="19" fillId="17" borderId="4" xfId="0" applyNumberFormat="1" applyFont="1" applyFill="1" applyBorder="1" applyAlignment="1">
      <alignment horizontal="right" vertical="center"/>
    </xf>
    <xf numFmtId="170" fontId="45" fillId="17" borderId="4" xfId="0" applyNumberFormat="1" applyFont="1" applyFill="1" applyBorder="1" applyAlignment="1">
      <alignment horizontal="right" vertical="center"/>
    </xf>
    <xf numFmtId="169" fontId="45" fillId="17" borderId="4" xfId="0" applyNumberFormat="1" applyFont="1" applyFill="1" applyBorder="1" applyAlignment="1">
      <alignment horizontal="right" vertical="center"/>
    </xf>
    <xf numFmtId="167" fontId="20" fillId="18" borderId="4" xfId="0" applyNumberFormat="1" applyFont="1" applyFill="1" applyBorder="1" applyAlignment="1">
      <alignment horizontal="right" vertical="center"/>
    </xf>
    <xf numFmtId="0" fontId="46" fillId="17" borderId="4" xfId="0" applyFont="1" applyFill="1" applyBorder="1" applyAlignment="1">
      <alignment horizontal="left" vertical="center" wrapText="1"/>
    </xf>
    <xf numFmtId="0" fontId="40" fillId="17" borderId="5" xfId="0" applyFont="1" applyFill="1" applyBorder="1" applyAlignment="1">
      <alignment horizontal="center" vertical="center"/>
    </xf>
    <xf numFmtId="167" fontId="19" fillId="13" borderId="4" xfId="0" applyNumberFormat="1" applyFont="1" applyFill="1" applyBorder="1" applyAlignment="1">
      <alignment horizontal="right" vertical="center"/>
    </xf>
    <xf numFmtId="170" fontId="45" fillId="13" borderId="4" xfId="0" applyNumberFormat="1" applyFont="1" applyFill="1" applyBorder="1" applyAlignment="1">
      <alignment horizontal="right" vertical="center"/>
    </xf>
    <xf numFmtId="169" fontId="45" fillId="13" borderId="4" xfId="0" applyNumberFormat="1" applyFont="1" applyFill="1" applyBorder="1" applyAlignment="1">
      <alignment horizontal="right" vertical="center"/>
    </xf>
    <xf numFmtId="0" fontId="46" fillId="13" borderId="4" xfId="0" applyFont="1" applyFill="1" applyBorder="1" applyAlignment="1">
      <alignment horizontal="left" vertical="center" wrapText="1"/>
    </xf>
    <xf numFmtId="0" fontId="40" fillId="13" borderId="5" xfId="0" applyFont="1" applyFill="1" applyBorder="1" applyAlignment="1">
      <alignment horizontal="center" vertical="center"/>
    </xf>
    <xf numFmtId="167" fontId="19" fillId="24" borderId="4" xfId="0" applyNumberFormat="1" applyFont="1" applyFill="1" applyBorder="1" applyAlignment="1">
      <alignment horizontal="right" vertical="center"/>
    </xf>
    <xf numFmtId="170" fontId="45" fillId="24" borderId="4" xfId="0" applyNumberFormat="1" applyFont="1" applyFill="1" applyBorder="1" applyAlignment="1">
      <alignment horizontal="right" vertical="center"/>
    </xf>
    <xf numFmtId="167" fontId="24" fillId="24" borderId="4" xfId="0" applyNumberFormat="1" applyFont="1" applyFill="1" applyBorder="1" applyAlignment="1">
      <alignment horizontal="right" vertical="center"/>
    </xf>
    <xf numFmtId="169" fontId="45" fillId="24" borderId="4" xfId="0" applyNumberFormat="1" applyFont="1" applyFill="1" applyBorder="1" applyAlignment="1">
      <alignment horizontal="right" vertical="center"/>
    </xf>
    <xf numFmtId="0" fontId="46" fillId="24" borderId="4" xfId="0" applyFont="1" applyFill="1" applyBorder="1" applyAlignment="1">
      <alignment horizontal="left" vertical="center" wrapText="1"/>
    </xf>
    <xf numFmtId="0" fontId="40" fillId="24" borderId="5" xfId="0" applyFont="1" applyFill="1" applyBorder="1" applyAlignment="1">
      <alignment horizontal="center" vertical="center"/>
    </xf>
    <xf numFmtId="0" fontId="19" fillId="29" borderId="5" xfId="0" applyFont="1" applyFill="1" applyBorder="1" applyAlignment="1">
      <alignment horizontal="center" vertical="center"/>
    </xf>
    <xf numFmtId="0" fontId="47" fillId="28" borderId="4" xfId="0" applyFont="1" applyFill="1" applyBorder="1" applyAlignment="1">
      <alignment horizontal="center" vertical="center"/>
    </xf>
    <xf numFmtId="166" fontId="19" fillId="29" borderId="5" xfId="0" applyNumberFormat="1" applyFont="1" applyFill="1" applyBorder="1" applyAlignment="1">
      <alignment horizontal="right" vertical="center"/>
    </xf>
    <xf numFmtId="167" fontId="48" fillId="19" borderId="4" xfId="0" applyNumberFormat="1" applyFont="1" applyFill="1" applyBorder="1" applyAlignment="1">
      <alignment horizontal="right" vertical="center"/>
    </xf>
    <xf numFmtId="170" fontId="45" fillId="29" borderId="4" xfId="0" applyNumberFormat="1" applyFont="1" applyFill="1" applyBorder="1" applyAlignment="1">
      <alignment horizontal="right" vertical="center"/>
    </xf>
    <xf numFmtId="167" fontId="24" fillId="29" borderId="4" xfId="0" applyNumberFormat="1" applyFont="1" applyFill="1" applyBorder="1" applyAlignment="1">
      <alignment horizontal="right" vertical="center"/>
    </xf>
    <xf numFmtId="169" fontId="45" fillId="29" borderId="4" xfId="0" applyNumberFormat="1" applyFont="1" applyFill="1" applyBorder="1" applyAlignment="1">
      <alignment horizontal="right" vertical="center"/>
    </xf>
    <xf numFmtId="169" fontId="19" fillId="29" borderId="5" xfId="0" applyNumberFormat="1" applyFont="1" applyFill="1" applyBorder="1" applyAlignment="1">
      <alignment horizontal="right" vertical="center"/>
    </xf>
    <xf numFmtId="0" fontId="46" fillId="29" borderId="4" xfId="0" applyFont="1" applyFill="1" applyBorder="1" applyAlignment="1">
      <alignment horizontal="left" vertical="center" wrapText="1"/>
    </xf>
    <xf numFmtId="0" fontId="40" fillId="29" borderId="5" xfId="0" applyFont="1" applyFill="1" applyBorder="1" applyAlignment="1">
      <alignment horizontal="center" vertical="center"/>
    </xf>
    <xf numFmtId="167" fontId="22" fillId="17" borderId="4" xfId="0" applyNumberFormat="1" applyFont="1" applyFill="1" applyBorder="1" applyAlignment="1">
      <alignment horizontal="right" vertical="center"/>
    </xf>
    <xf numFmtId="167" fontId="22" fillId="13" borderId="4" xfId="0" applyNumberFormat="1" applyFont="1" applyFill="1" applyBorder="1" applyAlignment="1">
      <alignment horizontal="right" vertical="center"/>
    </xf>
    <xf numFmtId="167" fontId="22" fillId="24" borderId="4" xfId="0" applyNumberFormat="1" applyFont="1" applyFill="1" applyBorder="1" applyAlignment="1">
      <alignment horizontal="right" vertical="center"/>
    </xf>
    <xf numFmtId="0" fontId="43" fillId="22" borderId="4" xfId="0" applyFont="1" applyFill="1" applyBorder="1" applyAlignment="1">
      <alignment horizontal="center" vertical="center"/>
    </xf>
    <xf numFmtId="0" fontId="34" fillId="13" borderId="4" xfId="0" applyFont="1" applyFill="1" applyBorder="1" applyAlignment="1">
      <alignment horizontal="left" vertical="center"/>
    </xf>
    <xf numFmtId="0" fontId="49" fillId="19" borderId="4" xfId="0" applyFont="1" applyFill="1" applyBorder="1" applyAlignment="1">
      <alignment horizontal="center" vertical="center"/>
    </xf>
    <xf numFmtId="0" fontId="50" fillId="13" borderId="4" xfId="0" applyFont="1" applyFill="1" applyBorder="1" applyAlignment="1">
      <alignment horizontal="center" vertical="center"/>
    </xf>
    <xf numFmtId="0" fontId="34" fillId="17" borderId="4" xfId="0" applyFont="1" applyFill="1" applyBorder="1" applyAlignment="1">
      <alignment horizontal="left" vertical="center"/>
    </xf>
    <xf numFmtId="0" fontId="49" fillId="18" borderId="4" xfId="0" applyFont="1" applyFill="1" applyBorder="1" applyAlignment="1">
      <alignment horizontal="center" vertical="center"/>
    </xf>
    <xf numFmtId="0" fontId="50" fillId="17" borderId="4" xfId="0" applyFont="1" applyFill="1" applyBorder="1" applyAlignment="1">
      <alignment horizontal="center" vertical="center"/>
    </xf>
    <xf numFmtId="0" fontId="49" fillId="17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1" fillId="5" borderId="1" xfId="0" applyFont="1" applyFill="1" applyBorder="1" applyAlignment="1">
      <alignment horizontal="center" vertical="center"/>
    </xf>
    <xf numFmtId="0" fontId="52" fillId="5" borderId="2" xfId="0" applyFont="1" applyFill="1" applyBorder="1" applyAlignment="1">
      <alignment horizontal="left" vertical="center"/>
    </xf>
    <xf numFmtId="172" fontId="4" fillId="0" borderId="2" xfId="0" applyNumberFormat="1" applyFont="1" applyBorder="1" applyAlignment="1">
      <alignment horizontal="right" vertical="center"/>
    </xf>
    <xf numFmtId="172" fontId="53" fillId="3" borderId="3" xfId="0" applyNumberFormat="1" applyFont="1" applyFill="1" applyBorder="1" applyAlignment="1">
      <alignment horizontal="right" vertical="center"/>
    </xf>
    <xf numFmtId="0" fontId="51" fillId="30" borderId="1" xfId="0" applyFont="1" applyFill="1" applyBorder="1" applyAlignment="1">
      <alignment horizontal="center" vertical="center"/>
    </xf>
    <xf numFmtId="0" fontId="5" fillId="30" borderId="2" xfId="0" applyFont="1" applyFill="1" applyBorder="1" applyAlignment="1">
      <alignment horizontal="left" vertical="center"/>
    </xf>
    <xf numFmtId="172" fontId="5" fillId="30" borderId="2" xfId="0" applyNumberFormat="1" applyFont="1" applyFill="1" applyBorder="1" applyAlignment="1">
      <alignment horizontal="right" vertical="center"/>
    </xf>
    <xf numFmtId="172" fontId="2" fillId="4" borderId="3" xfId="0" applyNumberFormat="1" applyFont="1" applyFill="1" applyBorder="1" applyAlignment="1">
      <alignment horizontal="right" vertical="center"/>
    </xf>
    <xf numFmtId="0" fontId="0" fillId="6" borderId="0" xfId="0" applyFill="1"/>
    <xf numFmtId="0" fontId="51" fillId="12" borderId="1" xfId="0" applyFont="1" applyFill="1" applyBorder="1" applyAlignment="1">
      <alignment horizontal="center" vertical="center"/>
    </xf>
    <xf numFmtId="0" fontId="52" fillId="12" borderId="2" xfId="0" applyFont="1" applyFill="1" applyBorder="1" applyAlignment="1">
      <alignment horizontal="left" vertical="center"/>
    </xf>
    <xf numFmtId="0" fontId="51" fillId="31" borderId="1" xfId="0" applyFont="1" applyFill="1" applyBorder="1" applyAlignment="1">
      <alignment horizontal="center" vertical="center"/>
    </xf>
    <xf numFmtId="0" fontId="5" fillId="31" borderId="2" xfId="0" applyFont="1" applyFill="1" applyBorder="1" applyAlignment="1">
      <alignment horizontal="left" vertical="center"/>
    </xf>
    <xf numFmtId="172" fontId="5" fillId="31" borderId="2" xfId="0" applyNumberFormat="1" applyFont="1" applyFill="1" applyBorder="1" applyAlignment="1">
      <alignment horizontal="right" vertical="center"/>
    </xf>
    <xf numFmtId="0" fontId="51" fillId="32" borderId="1" xfId="0" applyFont="1" applyFill="1" applyBorder="1" applyAlignment="1">
      <alignment horizontal="center" vertical="center"/>
    </xf>
    <xf numFmtId="0" fontId="52" fillId="32" borderId="2" xfId="0" applyFont="1" applyFill="1" applyBorder="1" applyAlignment="1">
      <alignment horizontal="left" vertical="center"/>
    </xf>
    <xf numFmtId="0" fontId="51" fillId="33" borderId="1" xfId="0" applyFont="1" applyFill="1" applyBorder="1" applyAlignment="1">
      <alignment horizontal="center" vertical="center"/>
    </xf>
    <xf numFmtId="0" fontId="5" fillId="33" borderId="2" xfId="0" applyFont="1" applyFill="1" applyBorder="1" applyAlignment="1">
      <alignment horizontal="left" vertical="center"/>
    </xf>
    <xf numFmtId="172" fontId="5" fillId="33" borderId="2" xfId="0" applyNumberFormat="1" applyFont="1" applyFill="1" applyBorder="1" applyAlignment="1">
      <alignment horizontal="right" vertical="center"/>
    </xf>
    <xf numFmtId="0" fontId="51" fillId="34" borderId="1" xfId="0" applyFont="1" applyFill="1" applyBorder="1" applyAlignment="1">
      <alignment horizontal="center" vertical="center"/>
    </xf>
    <xf numFmtId="0" fontId="52" fillId="34" borderId="2" xfId="0" applyFont="1" applyFill="1" applyBorder="1" applyAlignment="1">
      <alignment horizontal="left" vertical="center"/>
    </xf>
    <xf numFmtId="0" fontId="51" fillId="9" borderId="1" xfId="0" applyFont="1" applyFill="1" applyBorder="1" applyAlignment="1">
      <alignment horizontal="center" vertical="center"/>
    </xf>
    <xf numFmtId="0" fontId="52" fillId="9" borderId="2" xfId="0" applyFont="1" applyFill="1" applyBorder="1" applyAlignment="1">
      <alignment horizontal="left" vertical="center"/>
    </xf>
    <xf numFmtId="0" fontId="51" fillId="19" borderId="1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left" vertical="center"/>
    </xf>
    <xf numFmtId="172" fontId="5" fillId="19" borderId="2" xfId="0" applyNumberFormat="1" applyFont="1" applyFill="1" applyBorder="1" applyAlignment="1">
      <alignment horizontal="right" vertical="center"/>
    </xf>
    <xf numFmtId="0" fontId="51" fillId="35" borderId="1" xfId="0" applyFont="1" applyFill="1" applyBorder="1" applyAlignment="1">
      <alignment horizontal="center" vertical="center"/>
    </xf>
    <xf numFmtId="0" fontId="52" fillId="35" borderId="2" xfId="0" applyFont="1" applyFill="1" applyBorder="1" applyAlignment="1">
      <alignment horizontal="left" vertical="center"/>
    </xf>
    <xf numFmtId="0" fontId="7" fillId="30" borderId="2" xfId="0" applyFont="1" applyFill="1" applyBorder="1" applyAlignment="1">
      <alignment horizontal="left" vertical="center"/>
    </xf>
    <xf numFmtId="172" fontId="7" fillId="30" borderId="2" xfId="0" applyNumberFormat="1" applyFont="1" applyFill="1" applyBorder="1" applyAlignment="1">
      <alignment horizontal="right" vertical="center"/>
    </xf>
    <xf numFmtId="0" fontId="51" fillId="8" borderId="1" xfId="0" applyFont="1" applyFill="1" applyBorder="1" applyAlignment="1">
      <alignment horizontal="center" vertical="center"/>
    </xf>
    <xf numFmtId="0" fontId="52" fillId="8" borderId="2" xfId="0" applyFont="1" applyFill="1" applyBorder="1" applyAlignment="1">
      <alignment horizontal="left" vertical="center"/>
    </xf>
    <xf numFmtId="172" fontId="4" fillId="8" borderId="2" xfId="0" applyNumberFormat="1" applyFont="1" applyFill="1" applyBorder="1" applyAlignment="1">
      <alignment horizontal="right" vertical="center"/>
    </xf>
    <xf numFmtId="172" fontId="4" fillId="8" borderId="3" xfId="0" applyNumberFormat="1" applyFont="1" applyFill="1" applyBorder="1" applyAlignment="1">
      <alignment horizontal="right" vertical="center"/>
    </xf>
    <xf numFmtId="0" fontId="51" fillId="36" borderId="1" xfId="0" applyFont="1" applyFill="1" applyBorder="1" applyAlignment="1">
      <alignment horizontal="center" vertical="center"/>
    </xf>
    <xf numFmtId="0" fontId="52" fillId="36" borderId="2" xfId="0" applyFont="1" applyFill="1" applyBorder="1" applyAlignment="1">
      <alignment horizontal="left" vertical="center"/>
    </xf>
    <xf numFmtId="172" fontId="4" fillId="36" borderId="2" xfId="0" applyNumberFormat="1" applyFont="1" applyFill="1" applyBorder="1" applyAlignment="1">
      <alignment horizontal="right" vertical="center"/>
    </xf>
    <xf numFmtId="172" fontId="4" fillId="36" borderId="3" xfId="0" applyNumberFormat="1" applyFont="1" applyFill="1" applyBorder="1" applyAlignment="1">
      <alignment horizontal="right" vertical="center"/>
    </xf>
    <xf numFmtId="0" fontId="51" fillId="37" borderId="1" xfId="0" applyFont="1" applyFill="1" applyBorder="1" applyAlignment="1">
      <alignment horizontal="center" vertical="center"/>
    </xf>
    <xf numFmtId="0" fontId="5" fillId="37" borderId="2" xfId="0" applyFont="1" applyFill="1" applyBorder="1" applyAlignment="1">
      <alignment horizontal="left" vertical="center"/>
    </xf>
    <xf numFmtId="172" fontId="5" fillId="37" borderId="2" xfId="0" applyNumberFormat="1" applyFont="1" applyFill="1" applyBorder="1" applyAlignment="1">
      <alignment horizontal="right" vertical="center"/>
    </xf>
    <xf numFmtId="172" fontId="5" fillId="37" borderId="3" xfId="0" applyNumberFormat="1" applyFont="1" applyFill="1" applyBorder="1" applyAlignment="1">
      <alignment horizontal="right" vertical="center"/>
    </xf>
    <xf numFmtId="0" fontId="0" fillId="38" borderId="0" xfId="0" applyFill="1"/>
    <xf numFmtId="0" fontId="51" fillId="7" borderId="1" xfId="0" applyFont="1" applyFill="1" applyBorder="1" applyAlignment="1">
      <alignment horizontal="center" vertical="center"/>
    </xf>
    <xf numFmtId="0" fontId="52" fillId="7" borderId="2" xfId="0" applyFont="1" applyFill="1" applyBorder="1" applyAlignment="1">
      <alignment horizontal="left" vertical="center"/>
    </xf>
    <xf numFmtId="172" fontId="4" fillId="7" borderId="2" xfId="0" applyNumberFormat="1" applyFont="1" applyFill="1" applyBorder="1" applyAlignment="1">
      <alignment horizontal="right" vertical="center"/>
    </xf>
    <xf numFmtId="172" fontId="4" fillId="7" borderId="3" xfId="0" applyNumberFormat="1" applyFont="1" applyFill="1" applyBorder="1" applyAlignment="1">
      <alignment horizontal="right" vertical="center"/>
    </xf>
    <xf numFmtId="0" fontId="51" fillId="39" borderId="1" xfId="0" applyFont="1" applyFill="1" applyBorder="1" applyAlignment="1">
      <alignment horizontal="center" vertical="center"/>
    </xf>
    <xf numFmtId="0" fontId="2" fillId="39" borderId="2" xfId="0" applyFont="1" applyFill="1" applyBorder="1" applyAlignment="1">
      <alignment horizontal="left" vertical="center"/>
    </xf>
    <xf numFmtId="172" fontId="2" fillId="39" borderId="2" xfId="0" applyNumberFormat="1" applyFont="1" applyFill="1" applyBorder="1" applyAlignment="1">
      <alignment horizontal="right" vertical="center"/>
    </xf>
    <xf numFmtId="172" fontId="2" fillId="39" borderId="3" xfId="0" applyNumberFormat="1" applyFont="1" applyFill="1" applyBorder="1" applyAlignment="1">
      <alignment horizontal="right" vertical="center"/>
    </xf>
    <xf numFmtId="0" fontId="51" fillId="41" borderId="1" xfId="0" applyFont="1" applyFill="1" applyBorder="1" applyAlignment="1">
      <alignment horizontal="center" vertical="center"/>
    </xf>
    <xf numFmtId="0" fontId="52" fillId="41" borderId="2" xfId="0" applyFont="1" applyFill="1" applyBorder="1" applyAlignment="1">
      <alignment horizontal="left" vertical="center"/>
    </xf>
    <xf numFmtId="172" fontId="4" fillId="41" borderId="2" xfId="0" applyNumberFormat="1" applyFont="1" applyFill="1" applyBorder="1" applyAlignment="1">
      <alignment horizontal="right" vertical="center"/>
    </xf>
    <xf numFmtId="172" fontId="4" fillId="41" borderId="3" xfId="0" applyNumberFormat="1" applyFont="1" applyFill="1" applyBorder="1" applyAlignment="1">
      <alignment horizontal="right" vertical="center"/>
    </xf>
    <xf numFmtId="0" fontId="51" fillId="42" borderId="1" xfId="0" applyFont="1" applyFill="1" applyBorder="1" applyAlignment="1">
      <alignment horizontal="center" vertical="center"/>
    </xf>
    <xf numFmtId="0" fontId="54" fillId="42" borderId="2" xfId="0" applyFont="1" applyFill="1" applyBorder="1" applyAlignment="1">
      <alignment horizontal="left" vertical="center"/>
    </xf>
    <xf numFmtId="172" fontId="5" fillId="42" borderId="2" xfId="0" applyNumberFormat="1" applyFont="1" applyFill="1" applyBorder="1" applyAlignment="1">
      <alignment horizontal="right" vertical="center"/>
    </xf>
    <xf numFmtId="172" fontId="5" fillId="42" borderId="3" xfId="0" applyNumberFormat="1" applyFont="1" applyFill="1" applyBorder="1" applyAlignment="1">
      <alignment horizontal="right" vertical="center"/>
    </xf>
    <xf numFmtId="172" fontId="4" fillId="35" borderId="2" xfId="0" applyNumberFormat="1" applyFont="1" applyFill="1" applyBorder="1" applyAlignment="1">
      <alignment horizontal="right" vertical="center"/>
    </xf>
    <xf numFmtId="172" fontId="4" fillId="35" borderId="3" xfId="0" applyNumberFormat="1" applyFont="1" applyFill="1" applyBorder="1" applyAlignment="1">
      <alignment horizontal="right" vertical="center"/>
    </xf>
    <xf numFmtId="0" fontId="51" fillId="43" borderId="1" xfId="0" applyFont="1" applyFill="1" applyBorder="1" applyAlignment="1">
      <alignment horizontal="center" vertical="center"/>
    </xf>
    <xf numFmtId="0" fontId="8" fillId="43" borderId="2" xfId="0" applyFont="1" applyFill="1" applyBorder="1" applyAlignment="1">
      <alignment horizontal="left" vertical="center"/>
    </xf>
    <xf numFmtId="172" fontId="5" fillId="43" borderId="2" xfId="0" applyNumberFormat="1" applyFont="1" applyFill="1" applyBorder="1" applyAlignment="1">
      <alignment horizontal="right" vertical="center"/>
    </xf>
    <xf numFmtId="172" fontId="5" fillId="43" borderId="3" xfId="0" applyNumberFormat="1" applyFont="1" applyFill="1" applyBorder="1" applyAlignment="1">
      <alignment horizontal="right" vertical="center"/>
    </xf>
    <xf numFmtId="172" fontId="4" fillId="9" borderId="2" xfId="0" applyNumberFormat="1" applyFont="1" applyFill="1" applyBorder="1" applyAlignment="1">
      <alignment horizontal="right" vertical="center"/>
    </xf>
    <xf numFmtId="172" fontId="4" fillId="9" borderId="3" xfId="0" applyNumberFormat="1" applyFont="1" applyFill="1" applyBorder="1" applyAlignment="1">
      <alignment horizontal="right" vertical="center"/>
    </xf>
    <xf numFmtId="0" fontId="51" fillId="40" borderId="1" xfId="0" applyFont="1" applyFill="1" applyBorder="1" applyAlignment="1">
      <alignment horizontal="center" vertical="center"/>
    </xf>
    <xf numFmtId="0" fontId="2" fillId="40" borderId="2" xfId="0" applyFont="1" applyFill="1" applyBorder="1" applyAlignment="1">
      <alignment horizontal="left" vertical="center"/>
    </xf>
    <xf numFmtId="172" fontId="2" fillId="40" borderId="2" xfId="0" applyNumberFormat="1" applyFont="1" applyFill="1" applyBorder="1" applyAlignment="1">
      <alignment horizontal="right" vertical="center"/>
    </xf>
    <xf numFmtId="172" fontId="2" fillId="40" borderId="3" xfId="0" applyNumberFormat="1" applyFont="1" applyFill="1" applyBorder="1" applyAlignment="1">
      <alignment horizontal="right" vertical="center"/>
    </xf>
    <xf numFmtId="0" fontId="51" fillId="6" borderId="1" xfId="0" applyFont="1" applyFill="1" applyBorder="1" applyAlignment="1">
      <alignment horizontal="center" vertical="center"/>
    </xf>
    <xf numFmtId="0" fontId="52" fillId="6" borderId="2" xfId="0" applyFont="1" applyFill="1" applyBorder="1" applyAlignment="1">
      <alignment horizontal="left" vertical="center"/>
    </xf>
    <xf numFmtId="172" fontId="5" fillId="6" borderId="2" xfId="0" applyNumberFormat="1" applyFont="1" applyFill="1" applyBorder="1" applyAlignment="1">
      <alignment horizontal="right" vertical="center"/>
    </xf>
    <xf numFmtId="172" fontId="4" fillId="6" borderId="3" xfId="0" applyNumberFormat="1" applyFont="1" applyFill="1" applyBorder="1" applyAlignment="1">
      <alignment horizontal="right" vertical="center"/>
    </xf>
    <xf numFmtId="0" fontId="55" fillId="19" borderId="7" xfId="0" applyFont="1" applyFill="1" applyBorder="1" applyAlignment="1">
      <alignment horizontal="left" vertical="center"/>
    </xf>
    <xf numFmtId="0" fontId="30" fillId="18" borderId="4" xfId="0" applyFont="1" applyFill="1" applyBorder="1" applyAlignment="1">
      <alignment horizontal="center" vertical="center"/>
    </xf>
    <xf numFmtId="0" fontId="23" fillId="17" borderId="4" xfId="0" applyFont="1" applyFill="1" applyBorder="1" applyAlignment="1">
      <alignment horizontal="center" vertical="center"/>
    </xf>
    <xf numFmtId="0" fontId="23" fillId="13" borderId="4" xfId="0" applyFont="1" applyFill="1" applyBorder="1" applyAlignment="1">
      <alignment horizontal="center" vertical="center"/>
    </xf>
    <xf numFmtId="0" fontId="28" fillId="23" borderId="0" xfId="0" applyFont="1" applyFill="1" applyAlignment="1">
      <alignment horizontal="center" vertical="center"/>
    </xf>
    <xf numFmtId="0" fontId="28" fillId="14" borderId="0" xfId="0" applyFont="1" applyFill="1" applyAlignment="1">
      <alignment horizontal="center" vertical="center"/>
    </xf>
    <xf numFmtId="0" fontId="27" fillId="20" borderId="0" xfId="0" applyFont="1" applyFill="1" applyAlignment="1">
      <alignment horizontal="center" vertical="center"/>
    </xf>
    <xf numFmtId="0" fontId="27" fillId="16" borderId="0" xfId="0" applyFont="1" applyFill="1" applyAlignment="1">
      <alignment horizontal="center" vertical="center"/>
    </xf>
    <xf numFmtId="0" fontId="27" fillId="21" borderId="0" xfId="0" applyFont="1" applyFill="1" applyAlignment="1">
      <alignment horizontal="center" vertical="center"/>
    </xf>
    <xf numFmtId="0" fontId="27" fillId="22" borderId="0" xfId="0" applyFont="1" applyFill="1" applyAlignment="1">
      <alignment horizontal="center" vertical="center"/>
    </xf>
    <xf numFmtId="0" fontId="27" fillId="23" borderId="0" xfId="0" applyFont="1" applyFill="1" applyAlignment="1">
      <alignment horizontal="center" vertical="center"/>
    </xf>
    <xf numFmtId="0" fontId="29" fillId="20" borderId="0" xfId="0" applyFont="1" applyFill="1" applyAlignment="1">
      <alignment horizontal="center" vertical="center"/>
    </xf>
    <xf numFmtId="0" fontId="29" fillId="16" borderId="0" xfId="0" applyFont="1" applyFill="1" applyAlignment="1">
      <alignment horizontal="center" vertical="center"/>
    </xf>
    <xf numFmtId="0" fontId="29" fillId="21" borderId="0" xfId="0" applyFont="1" applyFill="1" applyAlignment="1">
      <alignment horizontal="center" vertical="center"/>
    </xf>
    <xf numFmtId="0" fontId="29" fillId="22" borderId="0" xfId="0" applyFont="1" applyFill="1" applyAlignment="1">
      <alignment horizontal="center" vertical="center"/>
    </xf>
    <xf numFmtId="0" fontId="29" fillId="23" borderId="0" xfId="0" applyFont="1" applyFill="1" applyAlignment="1">
      <alignment horizontal="center" vertical="center"/>
    </xf>
    <xf numFmtId="0" fontId="29" fillId="14" borderId="0" xfId="0" applyFont="1" applyFill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16" fillId="20" borderId="0" xfId="0" applyFont="1" applyFill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0" fontId="16" fillId="21" borderId="0" xfId="0" applyFont="1" applyFill="1" applyAlignment="1">
      <alignment horizontal="center" vertical="center"/>
    </xf>
    <xf numFmtId="0" fontId="16" fillId="22" borderId="0" xfId="0" applyFont="1" applyFill="1" applyAlignment="1">
      <alignment horizontal="center" vertical="center"/>
    </xf>
    <xf numFmtId="0" fontId="16" fillId="23" borderId="0" xfId="0" applyFont="1" applyFill="1" applyAlignment="1">
      <alignment horizontal="center" vertical="center"/>
    </xf>
    <xf numFmtId="0" fontId="16" fillId="26" borderId="0" xfId="0" applyFont="1" applyFill="1" applyAlignment="1">
      <alignment horizontal="center" vertical="center"/>
    </xf>
    <xf numFmtId="0" fontId="29" fillId="26" borderId="0" xfId="0" applyFont="1" applyFill="1" applyAlignment="1">
      <alignment horizontal="center" vertical="center"/>
    </xf>
    <xf numFmtId="0" fontId="35" fillId="16" borderId="6" xfId="0" applyFont="1" applyFill="1" applyBorder="1" applyAlignment="1">
      <alignment horizontal="left" vertical="center"/>
    </xf>
    <xf numFmtId="0" fontId="22" fillId="24" borderId="6" xfId="0" applyFont="1" applyFill="1" applyBorder="1" applyAlignment="1">
      <alignment horizontal="left" vertical="center"/>
    </xf>
    <xf numFmtId="0" fontId="34" fillId="27" borderId="6" xfId="0" applyFont="1" applyFill="1" applyBorder="1" applyAlignment="1">
      <alignment horizontal="left" vertical="center" wrapText="1"/>
    </xf>
    <xf numFmtId="0" fontId="34" fillId="13" borderId="6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2" fillId="40" borderId="0" xfId="0" applyFont="1" applyFill="1" applyAlignment="1">
      <alignment horizontal="center" vertical="center"/>
    </xf>
    <xf numFmtId="0" fontId="22" fillId="15" borderId="6" xfId="0" applyFont="1" applyFill="1" applyBorder="1" applyAlignment="1">
      <alignment horizontal="left" vertical="center"/>
    </xf>
    <xf numFmtId="0" fontId="17" fillId="27" borderId="0" xfId="0" applyFont="1" applyFill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94560"/>
      <rgbColor rgb="FFF2F2F2"/>
      <rgbColor rgb="FF0000FF"/>
      <rgbColor rgb="FFFDEBD0"/>
      <rgbColor rgb="FFFCE4EC"/>
      <rgbColor rgb="FFE8F5E9"/>
      <rgbColor rgb="FF8B0000"/>
      <rgbColor rgb="FF006400"/>
      <rgbColor rgb="FF1A237E"/>
      <rgbColor rgb="FFF3E5F5"/>
      <rgbColor rgb="FFF0F4F8"/>
      <rgbColor rgb="FF0D7377"/>
      <rgbColor rgb="FFCCCCCC"/>
      <rgbColor rgb="FF888888"/>
      <rgbColor rgb="FFBBDEFB"/>
      <rgbColor rgb="FF9B59B6"/>
      <rgbColor rgb="FFFFF8E1"/>
      <rgbColor rgb="FFDCEEFB"/>
      <rgbColor rgb="FF4A148C"/>
      <rgbColor rgb="FFE74C3C"/>
      <rgbColor rgb="FF1B2A4A"/>
      <rgbColor rgb="FFD1D9E6"/>
      <rgbColor rgb="FF1A1A2E"/>
      <rgbColor rgb="FFF5E6FF"/>
      <rgbColor rgb="FFD4EDDA"/>
      <rgbColor rgb="FFEBF5FB"/>
      <rgbColor rgb="FFF5F5F5"/>
      <rgbColor rgb="FFF0F8FF"/>
      <rgbColor rgb="FF17A589"/>
      <rgbColor rgb="FFF8F9FA"/>
      <rgbColor rgb="FFEEF2FF"/>
      <rgbColor rgb="FFE3F2FD"/>
      <rgbColor rgb="FFD5F5E3"/>
      <rgbColor rgb="FFFFF3CD"/>
      <rgbColor rgb="FFB3D9FF"/>
      <rgbColor rgb="FFEF9A9A"/>
      <rgbColor rgb="FFCE93D8"/>
      <rgbColor rgb="FFF8D7DA"/>
      <rgbColor rgb="FF4472C4"/>
      <rgbColor rgb="FFE8EDF5"/>
      <rgbColor rgb="FFE0E0E0"/>
      <rgbColor rgb="FFFADBD8"/>
      <rgbColor rgb="FFFFE0E0"/>
      <rgbColor rgb="FFE67E22"/>
      <rgbColor rgb="FF666666"/>
      <rgbColor rgb="FFC8E6C9"/>
      <rgbColor rgb="FF0F3460"/>
      <rgbColor rgb="FF27AE60"/>
      <rgbColor rgb="FF16213E"/>
      <rgbColor rgb="FF444444"/>
      <rgbColor rgb="FFC0392B"/>
      <rgbColor rgb="FF595959"/>
      <rgbColor rgb="FF2E4B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7377"/>
  </sheetPr>
  <dimension ref="A1:H92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2" width="8" customWidth="1"/>
    <col min="3" max="3" width="32" customWidth="1"/>
    <col min="4" max="4" width="24" customWidth="1"/>
    <col min="5" max="5" width="20" customWidth="1"/>
    <col min="6" max="7" width="16" customWidth="1"/>
    <col min="8" max="8" width="12" customWidth="1"/>
  </cols>
  <sheetData>
    <row r="1" spans="1:8" ht="31.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</row>
    <row r="2" spans="1:8" ht="21.75" customHeight="1" x14ac:dyDescent="0.2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</row>
    <row r="3" spans="1:8" ht="13.5" customHeight="1" x14ac:dyDescent="0.2">
      <c r="A3" s="13" t="s">
        <v>9</v>
      </c>
      <c r="B3" s="13"/>
      <c r="C3" s="13"/>
      <c r="D3" s="13"/>
      <c r="E3" s="13"/>
      <c r="F3" s="13"/>
      <c r="G3" s="13"/>
      <c r="H3" s="13"/>
    </row>
    <row r="4" spans="1:8" ht="18" customHeight="1" x14ac:dyDescent="0.2">
      <c r="A4" s="16">
        <v>8000</v>
      </c>
      <c r="B4" s="17">
        <v>4000</v>
      </c>
      <c r="C4" s="18" t="s">
        <v>10</v>
      </c>
      <c r="D4" s="19" t="s">
        <v>11</v>
      </c>
      <c r="E4" s="20" t="s">
        <v>12</v>
      </c>
      <c r="F4" s="21" t="s">
        <v>13</v>
      </c>
      <c r="G4" s="22" t="s">
        <v>14</v>
      </c>
      <c r="H4" s="23" t="s">
        <v>15</v>
      </c>
    </row>
    <row r="5" spans="1:8" ht="18" customHeight="1" x14ac:dyDescent="0.2">
      <c r="A5" s="16">
        <v>8100</v>
      </c>
      <c r="B5" s="17">
        <v>4100</v>
      </c>
      <c r="C5" s="18" t="s">
        <v>16</v>
      </c>
      <c r="D5" s="19" t="s">
        <v>11</v>
      </c>
      <c r="E5" s="20" t="s">
        <v>12</v>
      </c>
      <c r="F5" s="21" t="s">
        <v>13</v>
      </c>
      <c r="G5" s="22" t="s">
        <v>14</v>
      </c>
      <c r="H5" s="23" t="s">
        <v>15</v>
      </c>
    </row>
    <row r="6" spans="1:8" ht="18" customHeight="1" x14ac:dyDescent="0.2">
      <c r="A6" s="16">
        <v>8200</v>
      </c>
      <c r="B6" s="17">
        <v>4200</v>
      </c>
      <c r="C6" s="18" t="s">
        <v>17</v>
      </c>
      <c r="D6" s="19" t="s">
        <v>11</v>
      </c>
      <c r="E6" s="20" t="s">
        <v>12</v>
      </c>
      <c r="F6" s="21" t="s">
        <v>13</v>
      </c>
      <c r="G6" s="22" t="s">
        <v>14</v>
      </c>
      <c r="H6" s="23" t="s">
        <v>15</v>
      </c>
    </row>
    <row r="7" spans="1:8" ht="18" customHeight="1" x14ac:dyDescent="0.2">
      <c r="A7" s="16">
        <v>8300</v>
      </c>
      <c r="B7" s="17">
        <v>4300</v>
      </c>
      <c r="C7" s="18" t="s">
        <v>18</v>
      </c>
      <c r="D7" s="19" t="s">
        <v>11</v>
      </c>
      <c r="E7" s="20" t="s">
        <v>12</v>
      </c>
      <c r="F7" s="21" t="s">
        <v>13</v>
      </c>
      <c r="G7" s="22" t="s">
        <v>14</v>
      </c>
      <c r="H7" s="23" t="s">
        <v>15</v>
      </c>
    </row>
    <row r="8" spans="1:8" ht="18" customHeight="1" x14ac:dyDescent="0.2">
      <c r="A8" s="16">
        <v>8400</v>
      </c>
      <c r="B8" s="17">
        <v>4400</v>
      </c>
      <c r="C8" s="18" t="s">
        <v>19</v>
      </c>
      <c r="D8" s="19" t="s">
        <v>11</v>
      </c>
      <c r="E8" s="20" t="s">
        <v>12</v>
      </c>
      <c r="F8" s="21" t="s">
        <v>13</v>
      </c>
      <c r="G8" s="22" t="s">
        <v>14</v>
      </c>
      <c r="H8" s="23" t="s">
        <v>15</v>
      </c>
    </row>
    <row r="9" spans="1:8" ht="18" customHeight="1" x14ac:dyDescent="0.2">
      <c r="A9" s="16">
        <v>8500</v>
      </c>
      <c r="B9" s="17">
        <v>4500</v>
      </c>
      <c r="C9" s="18" t="s">
        <v>20</v>
      </c>
      <c r="D9" s="19" t="s">
        <v>11</v>
      </c>
      <c r="E9" s="20" t="s">
        <v>12</v>
      </c>
      <c r="F9" s="21" t="s">
        <v>13</v>
      </c>
      <c r="G9" s="22" t="s">
        <v>14</v>
      </c>
      <c r="H9" s="23" t="s">
        <v>15</v>
      </c>
    </row>
    <row r="10" spans="1:8" ht="18" customHeight="1" x14ac:dyDescent="0.2">
      <c r="A10" s="16">
        <v>8600</v>
      </c>
      <c r="B10" s="17">
        <v>4600</v>
      </c>
      <c r="C10" s="18" t="s">
        <v>21</v>
      </c>
      <c r="D10" s="19" t="s">
        <v>11</v>
      </c>
      <c r="E10" s="20" t="s">
        <v>12</v>
      </c>
      <c r="F10" s="21" t="s">
        <v>13</v>
      </c>
      <c r="G10" s="22" t="s">
        <v>14</v>
      </c>
      <c r="H10" s="23" t="s">
        <v>15</v>
      </c>
    </row>
    <row r="11" spans="1:8" ht="18" customHeight="1" x14ac:dyDescent="0.2">
      <c r="A11" s="16">
        <v>8700</v>
      </c>
      <c r="B11" s="17">
        <v>4700</v>
      </c>
      <c r="C11" s="18" t="s">
        <v>22</v>
      </c>
      <c r="D11" s="19" t="s">
        <v>23</v>
      </c>
      <c r="E11" s="20" t="s">
        <v>24</v>
      </c>
      <c r="F11" s="21" t="s">
        <v>13</v>
      </c>
      <c r="G11" s="22" t="s">
        <v>14</v>
      </c>
      <c r="H11" s="23" t="s">
        <v>15</v>
      </c>
    </row>
    <row r="12" spans="1:8" ht="18" customHeight="1" x14ac:dyDescent="0.2">
      <c r="A12" s="16">
        <v>8900</v>
      </c>
      <c r="B12" s="17">
        <v>4900</v>
      </c>
      <c r="C12" s="18" t="s">
        <v>25</v>
      </c>
      <c r="D12" s="19" t="s">
        <v>23</v>
      </c>
      <c r="E12" s="20" t="s">
        <v>24</v>
      </c>
      <c r="F12" s="21" t="s">
        <v>13</v>
      </c>
      <c r="G12" s="22" t="s">
        <v>14</v>
      </c>
      <c r="H12" s="23" t="s">
        <v>15</v>
      </c>
    </row>
    <row r="13" spans="1:8" ht="18" customHeight="1" x14ac:dyDescent="0.2">
      <c r="A13" s="16">
        <v>8910</v>
      </c>
      <c r="B13" s="17">
        <v>4910</v>
      </c>
      <c r="C13" s="18" t="s">
        <v>26</v>
      </c>
      <c r="D13" s="19" t="s">
        <v>27</v>
      </c>
      <c r="E13" s="20" t="s">
        <v>28</v>
      </c>
      <c r="F13" s="21" t="s">
        <v>13</v>
      </c>
      <c r="G13" s="22" t="s">
        <v>14</v>
      </c>
      <c r="H13" s="23" t="s">
        <v>15</v>
      </c>
    </row>
    <row r="14" spans="1:8" ht="13.5" customHeight="1" x14ac:dyDescent="0.2">
      <c r="A14" s="13" t="s">
        <v>29</v>
      </c>
      <c r="B14" s="13"/>
      <c r="C14" s="13"/>
      <c r="D14" s="13"/>
      <c r="E14" s="13"/>
      <c r="F14" s="13"/>
      <c r="G14" s="13"/>
      <c r="H14" s="13"/>
    </row>
    <row r="15" spans="1:8" ht="18" customHeight="1" x14ac:dyDescent="0.2">
      <c r="A15" s="24">
        <v>3000</v>
      </c>
      <c r="B15" s="25">
        <v>5000</v>
      </c>
      <c r="C15" s="26" t="s">
        <v>30</v>
      </c>
      <c r="D15" s="27" t="s">
        <v>31</v>
      </c>
      <c r="E15" s="28" t="s">
        <v>32</v>
      </c>
      <c r="F15" s="29" t="s">
        <v>33</v>
      </c>
      <c r="G15" s="30" t="s">
        <v>34</v>
      </c>
      <c r="H15" s="31" t="s">
        <v>15</v>
      </c>
    </row>
    <row r="16" spans="1:8" ht="18" customHeight="1" x14ac:dyDescent="0.2">
      <c r="A16" s="24">
        <v>3100</v>
      </c>
      <c r="B16" s="25">
        <v>5100</v>
      </c>
      <c r="C16" s="26" t="s">
        <v>35</v>
      </c>
      <c r="D16" s="27" t="s">
        <v>31</v>
      </c>
      <c r="E16" s="28" t="s">
        <v>32</v>
      </c>
      <c r="F16" s="29" t="s">
        <v>33</v>
      </c>
      <c r="G16" s="30" t="s">
        <v>34</v>
      </c>
      <c r="H16" s="31" t="s">
        <v>15</v>
      </c>
    </row>
    <row r="17" spans="1:8" ht="18" customHeight="1" x14ac:dyDescent="0.2">
      <c r="A17" s="24">
        <v>3200</v>
      </c>
      <c r="B17" s="25">
        <v>5200</v>
      </c>
      <c r="C17" s="26" t="s">
        <v>36</v>
      </c>
      <c r="D17" s="27" t="s">
        <v>31</v>
      </c>
      <c r="E17" s="28" t="s">
        <v>32</v>
      </c>
      <c r="F17" s="29" t="s">
        <v>33</v>
      </c>
      <c r="G17" s="30" t="s">
        <v>34</v>
      </c>
      <c r="H17" s="31" t="s">
        <v>15</v>
      </c>
    </row>
    <row r="18" spans="1:8" ht="18" customHeight="1" x14ac:dyDescent="0.2">
      <c r="A18" s="24">
        <v>3400</v>
      </c>
      <c r="B18" s="25">
        <v>5400</v>
      </c>
      <c r="C18" s="26" t="s">
        <v>37</v>
      </c>
      <c r="D18" s="27" t="s">
        <v>38</v>
      </c>
      <c r="E18" s="28" t="s">
        <v>32</v>
      </c>
      <c r="F18" s="29" t="s">
        <v>33</v>
      </c>
      <c r="G18" s="30" t="s">
        <v>34</v>
      </c>
      <c r="H18" s="31" t="s">
        <v>15</v>
      </c>
    </row>
    <row r="19" spans="1:8" ht="18" customHeight="1" x14ac:dyDescent="0.2">
      <c r="A19" s="24">
        <v>3500</v>
      </c>
      <c r="B19" s="25">
        <v>5500</v>
      </c>
      <c r="C19" s="26" t="s">
        <v>39</v>
      </c>
      <c r="D19" s="27" t="s">
        <v>31</v>
      </c>
      <c r="E19" s="28" t="s">
        <v>32</v>
      </c>
      <c r="F19" s="29" t="s">
        <v>33</v>
      </c>
      <c r="G19" s="30" t="s">
        <v>34</v>
      </c>
      <c r="H19" s="31" t="s">
        <v>15</v>
      </c>
    </row>
    <row r="20" spans="1:8" ht="18" customHeight="1" x14ac:dyDescent="0.2">
      <c r="A20" s="24">
        <v>3600</v>
      </c>
      <c r="B20" s="25">
        <v>5600</v>
      </c>
      <c r="C20" s="26" t="s">
        <v>40</v>
      </c>
      <c r="D20" s="27" t="s">
        <v>31</v>
      </c>
      <c r="E20" s="28" t="s">
        <v>32</v>
      </c>
      <c r="F20" s="29" t="s">
        <v>33</v>
      </c>
      <c r="G20" s="30" t="s">
        <v>34</v>
      </c>
      <c r="H20" s="31" t="s">
        <v>15</v>
      </c>
    </row>
    <row r="21" spans="1:8" ht="18" customHeight="1" x14ac:dyDescent="0.2">
      <c r="A21" s="24">
        <v>3800</v>
      </c>
      <c r="B21" s="25">
        <v>5800</v>
      </c>
      <c r="C21" s="26" t="s">
        <v>41</v>
      </c>
      <c r="D21" s="27" t="s">
        <v>31</v>
      </c>
      <c r="E21" s="28" t="s">
        <v>32</v>
      </c>
      <c r="F21" s="29" t="s">
        <v>33</v>
      </c>
      <c r="G21" s="30" t="s">
        <v>34</v>
      </c>
      <c r="H21" s="31" t="s">
        <v>15</v>
      </c>
    </row>
    <row r="22" spans="1:8" ht="18" customHeight="1" x14ac:dyDescent="0.2">
      <c r="A22" s="24">
        <v>4100</v>
      </c>
      <c r="B22" s="25">
        <v>6000</v>
      </c>
      <c r="C22" s="26" t="s">
        <v>42</v>
      </c>
      <c r="D22" s="27" t="s">
        <v>43</v>
      </c>
      <c r="E22" s="28" t="s">
        <v>44</v>
      </c>
      <c r="F22" s="29" t="s">
        <v>33</v>
      </c>
      <c r="G22" s="30" t="s">
        <v>34</v>
      </c>
      <c r="H22" s="31" t="s">
        <v>15</v>
      </c>
    </row>
    <row r="23" spans="1:8" ht="18" customHeight="1" x14ac:dyDescent="0.2">
      <c r="A23" s="24">
        <v>4110</v>
      </c>
      <c r="B23" s="25">
        <v>6010</v>
      </c>
      <c r="C23" s="26" t="s">
        <v>45</v>
      </c>
      <c r="D23" s="27" t="s">
        <v>43</v>
      </c>
      <c r="E23" s="28" t="s">
        <v>44</v>
      </c>
      <c r="F23" s="29" t="s">
        <v>33</v>
      </c>
      <c r="G23" s="30" t="s">
        <v>34</v>
      </c>
      <c r="H23" s="31" t="s">
        <v>15</v>
      </c>
    </row>
    <row r="24" spans="1:8" ht="18" customHeight="1" x14ac:dyDescent="0.2">
      <c r="A24" s="24">
        <v>4120</v>
      </c>
      <c r="B24" s="25">
        <v>6020</v>
      </c>
      <c r="C24" s="26" t="s">
        <v>46</v>
      </c>
      <c r="D24" s="27" t="s">
        <v>43</v>
      </c>
      <c r="E24" s="28" t="s">
        <v>44</v>
      </c>
      <c r="F24" s="29" t="s">
        <v>33</v>
      </c>
      <c r="G24" s="30" t="s">
        <v>34</v>
      </c>
      <c r="H24" s="31" t="s">
        <v>15</v>
      </c>
    </row>
    <row r="25" spans="1:8" ht="18" customHeight="1" x14ac:dyDescent="0.2">
      <c r="A25" s="24">
        <v>4130</v>
      </c>
      <c r="B25" s="25">
        <v>6030</v>
      </c>
      <c r="C25" s="26" t="s">
        <v>47</v>
      </c>
      <c r="D25" s="27" t="s">
        <v>43</v>
      </c>
      <c r="E25" s="28" t="s">
        <v>44</v>
      </c>
      <c r="F25" s="29" t="s">
        <v>33</v>
      </c>
      <c r="G25" s="30" t="s">
        <v>34</v>
      </c>
      <c r="H25" s="31" t="s">
        <v>15</v>
      </c>
    </row>
    <row r="26" spans="1:8" ht="18" customHeight="1" x14ac:dyDescent="0.2">
      <c r="A26" s="24">
        <v>4140</v>
      </c>
      <c r="B26" s="25">
        <v>6040</v>
      </c>
      <c r="C26" s="26" t="s">
        <v>48</v>
      </c>
      <c r="D26" s="27" t="s">
        <v>43</v>
      </c>
      <c r="E26" s="28" t="s">
        <v>44</v>
      </c>
      <c r="F26" s="29" t="s">
        <v>33</v>
      </c>
      <c r="G26" s="30" t="s">
        <v>34</v>
      </c>
      <c r="H26" s="31" t="s">
        <v>15</v>
      </c>
    </row>
    <row r="27" spans="1:8" ht="18" customHeight="1" x14ac:dyDescent="0.2">
      <c r="A27" s="24">
        <v>4150</v>
      </c>
      <c r="B27" s="25">
        <v>6050</v>
      </c>
      <c r="C27" s="26" t="s">
        <v>49</v>
      </c>
      <c r="D27" s="27" t="s">
        <v>43</v>
      </c>
      <c r="E27" s="28" t="s">
        <v>44</v>
      </c>
      <c r="F27" s="29" t="s">
        <v>33</v>
      </c>
      <c r="G27" s="30" t="s">
        <v>34</v>
      </c>
      <c r="H27" s="31" t="s">
        <v>15</v>
      </c>
    </row>
    <row r="28" spans="1:8" ht="18" customHeight="1" x14ac:dyDescent="0.2">
      <c r="A28" s="24">
        <v>4160</v>
      </c>
      <c r="B28" s="25">
        <v>6060</v>
      </c>
      <c r="C28" s="26" t="s">
        <v>50</v>
      </c>
      <c r="D28" s="27" t="s">
        <v>43</v>
      </c>
      <c r="E28" s="28" t="s">
        <v>44</v>
      </c>
      <c r="F28" s="29" t="s">
        <v>33</v>
      </c>
      <c r="G28" s="30" t="s">
        <v>34</v>
      </c>
      <c r="H28" s="31" t="s">
        <v>15</v>
      </c>
    </row>
    <row r="29" spans="1:8" ht="18" customHeight="1" x14ac:dyDescent="0.2">
      <c r="A29" s="24">
        <v>4170</v>
      </c>
      <c r="B29" s="25">
        <v>6070</v>
      </c>
      <c r="C29" s="26" t="s">
        <v>51</v>
      </c>
      <c r="D29" s="27" t="s">
        <v>43</v>
      </c>
      <c r="E29" s="28" t="s">
        <v>44</v>
      </c>
      <c r="F29" s="29" t="s">
        <v>33</v>
      </c>
      <c r="G29" s="30" t="s">
        <v>34</v>
      </c>
      <c r="H29" s="31" t="s">
        <v>15</v>
      </c>
    </row>
    <row r="30" spans="1:8" ht="18" customHeight="1" x14ac:dyDescent="0.2">
      <c r="A30" s="24">
        <v>4200</v>
      </c>
      <c r="B30" s="25">
        <v>6200</v>
      </c>
      <c r="C30" s="26" t="s">
        <v>52</v>
      </c>
      <c r="D30" s="27" t="s">
        <v>43</v>
      </c>
      <c r="E30" s="28" t="s">
        <v>44</v>
      </c>
      <c r="F30" s="29" t="s">
        <v>33</v>
      </c>
      <c r="G30" s="30" t="s">
        <v>34</v>
      </c>
      <c r="H30" s="31" t="s">
        <v>15</v>
      </c>
    </row>
    <row r="31" spans="1:8" ht="18" customHeight="1" x14ac:dyDescent="0.2">
      <c r="A31" s="24">
        <v>4210</v>
      </c>
      <c r="B31" s="25">
        <v>6300</v>
      </c>
      <c r="C31" s="26" t="s">
        <v>53</v>
      </c>
      <c r="D31" s="27" t="s">
        <v>54</v>
      </c>
      <c r="E31" s="28" t="s">
        <v>55</v>
      </c>
      <c r="F31" s="29" t="s">
        <v>33</v>
      </c>
      <c r="G31" s="30" t="s">
        <v>34</v>
      </c>
      <c r="H31" s="31" t="s">
        <v>15</v>
      </c>
    </row>
    <row r="32" spans="1:8" ht="18" customHeight="1" x14ac:dyDescent="0.2">
      <c r="A32" s="24">
        <v>4220</v>
      </c>
      <c r="B32" s="25">
        <v>6310</v>
      </c>
      <c r="C32" s="26" t="s">
        <v>56</v>
      </c>
      <c r="D32" s="27" t="s">
        <v>54</v>
      </c>
      <c r="E32" s="28" t="s">
        <v>55</v>
      </c>
      <c r="F32" s="29" t="s">
        <v>33</v>
      </c>
      <c r="G32" s="30" t="s">
        <v>34</v>
      </c>
      <c r="H32" s="31" t="s">
        <v>15</v>
      </c>
    </row>
    <row r="33" spans="1:8" ht="18" customHeight="1" x14ac:dyDescent="0.2">
      <c r="A33" s="24">
        <v>4230</v>
      </c>
      <c r="B33" s="25">
        <v>6320</v>
      </c>
      <c r="C33" s="26" t="s">
        <v>57</v>
      </c>
      <c r="D33" s="27" t="s">
        <v>54</v>
      </c>
      <c r="E33" s="28" t="s">
        <v>55</v>
      </c>
      <c r="F33" s="29" t="s">
        <v>33</v>
      </c>
      <c r="G33" s="30" t="s">
        <v>34</v>
      </c>
      <c r="H33" s="31" t="s">
        <v>15</v>
      </c>
    </row>
    <row r="34" spans="1:8" ht="18" customHeight="1" x14ac:dyDescent="0.2">
      <c r="A34" s="24">
        <v>4240</v>
      </c>
      <c r="B34" s="25">
        <v>6400</v>
      </c>
      <c r="C34" s="26" t="s">
        <v>58</v>
      </c>
      <c r="D34" s="27" t="s">
        <v>59</v>
      </c>
      <c r="E34" s="28" t="s">
        <v>55</v>
      </c>
      <c r="F34" s="29" t="s">
        <v>33</v>
      </c>
      <c r="G34" s="30" t="s">
        <v>34</v>
      </c>
      <c r="H34" s="31" t="s">
        <v>15</v>
      </c>
    </row>
    <row r="35" spans="1:8" ht="18" customHeight="1" x14ac:dyDescent="0.2">
      <c r="A35" s="24">
        <v>4250</v>
      </c>
      <c r="B35" s="25">
        <v>6410</v>
      </c>
      <c r="C35" s="26" t="s">
        <v>60</v>
      </c>
      <c r="D35" s="27" t="s">
        <v>59</v>
      </c>
      <c r="E35" s="28" t="s">
        <v>55</v>
      </c>
      <c r="F35" s="29" t="s">
        <v>33</v>
      </c>
      <c r="G35" s="30" t="s">
        <v>34</v>
      </c>
      <c r="H35" s="31" t="s">
        <v>15</v>
      </c>
    </row>
    <row r="36" spans="1:8" ht="18" customHeight="1" x14ac:dyDescent="0.2">
      <c r="A36" s="24">
        <v>4260</v>
      </c>
      <c r="B36" s="25">
        <v>6420</v>
      </c>
      <c r="C36" s="26" t="s">
        <v>61</v>
      </c>
      <c r="D36" s="27" t="s">
        <v>59</v>
      </c>
      <c r="E36" s="28" t="s">
        <v>55</v>
      </c>
      <c r="F36" s="29" t="s">
        <v>33</v>
      </c>
      <c r="G36" s="30" t="s">
        <v>34</v>
      </c>
      <c r="H36" s="31" t="s">
        <v>15</v>
      </c>
    </row>
    <row r="37" spans="1:8" ht="18" customHeight="1" x14ac:dyDescent="0.2">
      <c r="A37" s="24">
        <v>4600</v>
      </c>
      <c r="B37" s="25">
        <v>6600</v>
      </c>
      <c r="C37" s="26" t="s">
        <v>62</v>
      </c>
      <c r="D37" s="27" t="s">
        <v>63</v>
      </c>
      <c r="E37" s="28" t="s">
        <v>55</v>
      </c>
      <c r="F37" s="29" t="s">
        <v>33</v>
      </c>
      <c r="G37" s="30" t="s">
        <v>34</v>
      </c>
      <c r="H37" s="31" t="s">
        <v>15</v>
      </c>
    </row>
    <row r="38" spans="1:8" ht="18" customHeight="1" x14ac:dyDescent="0.2">
      <c r="A38" s="24">
        <v>4610</v>
      </c>
      <c r="B38" s="25">
        <v>6610</v>
      </c>
      <c r="C38" s="26" t="s">
        <v>64</v>
      </c>
      <c r="D38" s="27" t="s">
        <v>63</v>
      </c>
      <c r="E38" s="28" t="s">
        <v>55</v>
      </c>
      <c r="F38" s="29" t="s">
        <v>33</v>
      </c>
      <c r="G38" s="30" t="s">
        <v>34</v>
      </c>
      <c r="H38" s="31" t="s">
        <v>15</v>
      </c>
    </row>
    <row r="39" spans="1:8" ht="18" customHeight="1" x14ac:dyDescent="0.2">
      <c r="A39" s="24">
        <v>4650</v>
      </c>
      <c r="B39" s="25">
        <v>6650</v>
      </c>
      <c r="C39" s="26" t="s">
        <v>65</v>
      </c>
      <c r="D39" s="27" t="s">
        <v>66</v>
      </c>
      <c r="E39" s="28" t="s">
        <v>55</v>
      </c>
      <c r="F39" s="29" t="s">
        <v>33</v>
      </c>
      <c r="G39" s="30" t="s">
        <v>34</v>
      </c>
      <c r="H39" s="31" t="s">
        <v>15</v>
      </c>
    </row>
    <row r="40" spans="1:8" ht="18" customHeight="1" x14ac:dyDescent="0.2">
      <c r="A40" s="24">
        <v>4660</v>
      </c>
      <c r="B40" s="25">
        <v>6660</v>
      </c>
      <c r="C40" s="26" t="s">
        <v>67</v>
      </c>
      <c r="D40" s="27" t="s">
        <v>66</v>
      </c>
      <c r="E40" s="28" t="s">
        <v>55</v>
      </c>
      <c r="F40" s="29" t="s">
        <v>33</v>
      </c>
      <c r="G40" s="30" t="s">
        <v>34</v>
      </c>
      <c r="H40" s="31" t="s">
        <v>15</v>
      </c>
    </row>
    <row r="41" spans="1:8" ht="18" customHeight="1" x14ac:dyDescent="0.2">
      <c r="A41" s="24">
        <v>4670</v>
      </c>
      <c r="B41" s="25">
        <v>6670</v>
      </c>
      <c r="C41" s="26" t="s">
        <v>68</v>
      </c>
      <c r="D41" s="27" t="s">
        <v>66</v>
      </c>
      <c r="E41" s="28" t="s">
        <v>55</v>
      </c>
      <c r="F41" s="29" t="s">
        <v>33</v>
      </c>
      <c r="G41" s="30" t="s">
        <v>34</v>
      </c>
      <c r="H41" s="31" t="s">
        <v>15</v>
      </c>
    </row>
    <row r="42" spans="1:8" ht="18" customHeight="1" x14ac:dyDescent="0.2">
      <c r="A42" s="24">
        <v>4800</v>
      </c>
      <c r="B42" s="25">
        <v>6800</v>
      </c>
      <c r="C42" s="26" t="s">
        <v>69</v>
      </c>
      <c r="D42" s="27" t="s">
        <v>70</v>
      </c>
      <c r="E42" s="28" t="s">
        <v>55</v>
      </c>
      <c r="F42" s="29" t="s">
        <v>33</v>
      </c>
      <c r="G42" s="30" t="s">
        <v>34</v>
      </c>
      <c r="H42" s="31" t="s">
        <v>15</v>
      </c>
    </row>
    <row r="43" spans="1:8" ht="18" customHeight="1" x14ac:dyDescent="0.2">
      <c r="A43" s="24">
        <v>4810</v>
      </c>
      <c r="B43" s="25">
        <v>6810</v>
      </c>
      <c r="C43" s="26" t="s">
        <v>71</v>
      </c>
      <c r="D43" s="27" t="s">
        <v>70</v>
      </c>
      <c r="E43" s="28" t="s">
        <v>55</v>
      </c>
      <c r="F43" s="29" t="s">
        <v>33</v>
      </c>
      <c r="G43" s="30" t="s">
        <v>34</v>
      </c>
      <c r="H43" s="31" t="s">
        <v>15</v>
      </c>
    </row>
    <row r="44" spans="1:8" ht="18" customHeight="1" x14ac:dyDescent="0.2">
      <c r="A44" s="24">
        <v>4820</v>
      </c>
      <c r="B44" s="25">
        <v>6820</v>
      </c>
      <c r="C44" s="26" t="s">
        <v>72</v>
      </c>
      <c r="D44" s="27" t="s">
        <v>70</v>
      </c>
      <c r="E44" s="28" t="s">
        <v>55</v>
      </c>
      <c r="F44" s="29" t="s">
        <v>33</v>
      </c>
      <c r="G44" s="30" t="s">
        <v>34</v>
      </c>
      <c r="H44" s="31" t="s">
        <v>15</v>
      </c>
    </row>
    <row r="45" spans="1:8" ht="18" customHeight="1" x14ac:dyDescent="0.2">
      <c r="A45" s="24">
        <v>4830</v>
      </c>
      <c r="B45" s="25">
        <v>6830</v>
      </c>
      <c r="C45" s="26" t="s">
        <v>73</v>
      </c>
      <c r="D45" s="27" t="s">
        <v>70</v>
      </c>
      <c r="E45" s="28" t="s">
        <v>55</v>
      </c>
      <c r="F45" s="29" t="s">
        <v>33</v>
      </c>
      <c r="G45" s="30" t="s">
        <v>34</v>
      </c>
      <c r="H45" s="31" t="s">
        <v>15</v>
      </c>
    </row>
    <row r="46" spans="1:8" ht="18" customHeight="1" x14ac:dyDescent="0.2">
      <c r="A46" s="24">
        <v>4840</v>
      </c>
      <c r="B46" s="25">
        <v>6840</v>
      </c>
      <c r="C46" s="26" t="s">
        <v>74</v>
      </c>
      <c r="D46" s="27" t="s">
        <v>70</v>
      </c>
      <c r="E46" s="28" t="s">
        <v>55</v>
      </c>
      <c r="F46" s="29" t="s">
        <v>33</v>
      </c>
      <c r="G46" s="30" t="s">
        <v>34</v>
      </c>
      <c r="H46" s="31" t="s">
        <v>15</v>
      </c>
    </row>
    <row r="47" spans="1:8" ht="18" customHeight="1" x14ac:dyDescent="0.2">
      <c r="A47" s="24">
        <v>4300</v>
      </c>
      <c r="B47" s="25">
        <v>6900</v>
      </c>
      <c r="C47" s="26" t="s">
        <v>75</v>
      </c>
      <c r="D47" s="27" t="s">
        <v>75</v>
      </c>
      <c r="E47" s="28" t="s">
        <v>55</v>
      </c>
      <c r="F47" s="29" t="s">
        <v>33</v>
      </c>
      <c r="G47" s="30" t="s">
        <v>34</v>
      </c>
      <c r="H47" s="31" t="s">
        <v>15</v>
      </c>
    </row>
    <row r="48" spans="1:8" ht="18" customHeight="1" x14ac:dyDescent="0.2">
      <c r="A48" s="24">
        <v>4310</v>
      </c>
      <c r="B48" s="25">
        <v>6910</v>
      </c>
      <c r="C48" s="26" t="s">
        <v>76</v>
      </c>
      <c r="D48" s="27" t="s">
        <v>75</v>
      </c>
      <c r="E48" s="28" t="s">
        <v>55</v>
      </c>
      <c r="F48" s="29" t="s">
        <v>33</v>
      </c>
      <c r="G48" s="30" t="s">
        <v>34</v>
      </c>
      <c r="H48" s="31" t="s">
        <v>15</v>
      </c>
    </row>
    <row r="49" spans="1:8" ht="18" customHeight="1" x14ac:dyDescent="0.2">
      <c r="A49" s="24">
        <v>4820</v>
      </c>
      <c r="B49" s="25">
        <v>6200</v>
      </c>
      <c r="C49" s="26" t="s">
        <v>77</v>
      </c>
      <c r="D49" s="27" t="s">
        <v>78</v>
      </c>
      <c r="E49" s="28" t="s">
        <v>79</v>
      </c>
      <c r="F49" s="29" t="s">
        <v>33</v>
      </c>
      <c r="G49" s="30" t="s">
        <v>34</v>
      </c>
      <c r="H49" s="31" t="s">
        <v>15</v>
      </c>
    </row>
    <row r="50" spans="1:8" ht="18" customHeight="1" x14ac:dyDescent="0.2">
      <c r="A50" s="24">
        <v>4821</v>
      </c>
      <c r="B50" s="25">
        <v>6201</v>
      </c>
      <c r="C50" s="26" t="s">
        <v>80</v>
      </c>
      <c r="D50" s="27" t="s">
        <v>78</v>
      </c>
      <c r="E50" s="28" t="s">
        <v>79</v>
      </c>
      <c r="F50" s="29" t="s">
        <v>33</v>
      </c>
      <c r="G50" s="30" t="s">
        <v>34</v>
      </c>
      <c r="H50" s="31" t="s">
        <v>15</v>
      </c>
    </row>
    <row r="51" spans="1:8" ht="18" customHeight="1" x14ac:dyDescent="0.2">
      <c r="A51" s="24">
        <v>4822</v>
      </c>
      <c r="B51" s="25">
        <v>6202</v>
      </c>
      <c r="C51" s="26" t="s">
        <v>81</v>
      </c>
      <c r="D51" s="27" t="s">
        <v>78</v>
      </c>
      <c r="E51" s="28" t="s">
        <v>79</v>
      </c>
      <c r="F51" s="29" t="s">
        <v>33</v>
      </c>
      <c r="G51" s="30" t="s">
        <v>34</v>
      </c>
      <c r="H51" s="31" t="s">
        <v>15</v>
      </c>
    </row>
    <row r="52" spans="1:8" ht="18" customHeight="1" x14ac:dyDescent="0.2">
      <c r="A52" s="24">
        <v>4900</v>
      </c>
      <c r="B52" s="25">
        <v>6980</v>
      </c>
      <c r="C52" s="26" t="s">
        <v>82</v>
      </c>
      <c r="D52" s="27" t="s">
        <v>83</v>
      </c>
      <c r="E52" s="28" t="s">
        <v>55</v>
      </c>
      <c r="F52" s="29" t="s">
        <v>33</v>
      </c>
      <c r="G52" s="30" t="s">
        <v>34</v>
      </c>
      <c r="H52" s="31" t="s">
        <v>15</v>
      </c>
    </row>
    <row r="53" spans="1:8" ht="18" customHeight="1" x14ac:dyDescent="0.2">
      <c r="A53" s="24">
        <v>4910</v>
      </c>
      <c r="B53" s="25">
        <v>6990</v>
      </c>
      <c r="C53" s="26" t="s">
        <v>84</v>
      </c>
      <c r="D53" s="27" t="s">
        <v>83</v>
      </c>
      <c r="E53" s="28" t="s">
        <v>55</v>
      </c>
      <c r="F53" s="29" t="s">
        <v>33</v>
      </c>
      <c r="G53" s="30" t="s">
        <v>34</v>
      </c>
      <c r="H53" s="31" t="s">
        <v>15</v>
      </c>
    </row>
    <row r="54" spans="1:8" ht="13.5" customHeight="1" x14ac:dyDescent="0.2">
      <c r="A54" s="13" t="s">
        <v>85</v>
      </c>
      <c r="B54" s="13"/>
      <c r="C54" s="13"/>
      <c r="D54" s="13"/>
      <c r="E54" s="13"/>
      <c r="F54" s="13"/>
      <c r="G54" s="13"/>
      <c r="H54" s="13"/>
    </row>
    <row r="55" spans="1:8" ht="18" customHeight="1" x14ac:dyDescent="0.2">
      <c r="A55" s="32">
        <v>2100</v>
      </c>
      <c r="B55" s="33">
        <v>7100</v>
      </c>
      <c r="C55" s="34" t="s">
        <v>86</v>
      </c>
      <c r="D55" s="35" t="s">
        <v>87</v>
      </c>
      <c r="E55" s="36" t="s">
        <v>88</v>
      </c>
      <c r="F55" s="37" t="s">
        <v>89</v>
      </c>
      <c r="G55" s="38" t="s">
        <v>14</v>
      </c>
      <c r="H55" s="39" t="s">
        <v>15</v>
      </c>
    </row>
    <row r="56" spans="1:8" ht="18" customHeight="1" x14ac:dyDescent="0.2">
      <c r="A56" s="32">
        <v>2120</v>
      </c>
      <c r="B56" s="33">
        <v>7120</v>
      </c>
      <c r="C56" s="34" t="s">
        <v>90</v>
      </c>
      <c r="D56" s="35" t="s">
        <v>87</v>
      </c>
      <c r="E56" s="36" t="s">
        <v>88</v>
      </c>
      <c r="F56" s="37" t="s">
        <v>89</v>
      </c>
      <c r="G56" s="38" t="s">
        <v>14</v>
      </c>
      <c r="H56" s="39" t="s">
        <v>15</v>
      </c>
    </row>
    <row r="57" spans="1:8" ht="13.5" customHeight="1" x14ac:dyDescent="0.2">
      <c r="A57" s="13" t="s">
        <v>91</v>
      </c>
      <c r="B57" s="13"/>
      <c r="C57" s="13"/>
      <c r="D57" s="13"/>
      <c r="E57" s="13"/>
      <c r="F57" s="13"/>
      <c r="G57" s="13"/>
      <c r="H57" s="13"/>
    </row>
    <row r="58" spans="1:8" ht="18" customHeight="1" x14ac:dyDescent="0.2">
      <c r="A58" s="24">
        <v>2200</v>
      </c>
      <c r="B58" s="25">
        <v>7200</v>
      </c>
      <c r="C58" s="26" t="s">
        <v>92</v>
      </c>
      <c r="D58" s="27" t="s">
        <v>87</v>
      </c>
      <c r="E58" s="28" t="s">
        <v>88</v>
      </c>
      <c r="F58" s="29" t="s">
        <v>33</v>
      </c>
      <c r="G58" s="30" t="s">
        <v>34</v>
      </c>
      <c r="H58" s="31" t="s">
        <v>15</v>
      </c>
    </row>
    <row r="59" spans="1:8" ht="18" customHeight="1" x14ac:dyDescent="0.2">
      <c r="A59" s="24">
        <v>2210</v>
      </c>
      <c r="B59" s="25">
        <v>7210</v>
      </c>
      <c r="C59" s="26" t="s">
        <v>93</v>
      </c>
      <c r="D59" s="27" t="s">
        <v>87</v>
      </c>
      <c r="E59" s="28" t="s">
        <v>88</v>
      </c>
      <c r="F59" s="29" t="s">
        <v>33</v>
      </c>
      <c r="G59" s="30" t="s">
        <v>34</v>
      </c>
      <c r="H59" s="31" t="s">
        <v>15</v>
      </c>
    </row>
    <row r="60" spans="1:8" ht="18" customHeight="1" x14ac:dyDescent="0.2">
      <c r="A60" s="24">
        <v>2300</v>
      </c>
      <c r="B60" s="25">
        <v>7300</v>
      </c>
      <c r="C60" s="26" t="s">
        <v>94</v>
      </c>
      <c r="D60" s="27" t="s">
        <v>87</v>
      </c>
      <c r="E60" s="28" t="s">
        <v>88</v>
      </c>
      <c r="F60" s="29" t="s">
        <v>33</v>
      </c>
      <c r="G60" s="40" t="s">
        <v>95</v>
      </c>
      <c r="H60" s="31" t="s">
        <v>15</v>
      </c>
    </row>
    <row r="61" spans="1:8" ht="18" customHeight="1" x14ac:dyDescent="0.2">
      <c r="A61" s="24">
        <v>7600</v>
      </c>
      <c r="B61" s="25">
        <v>8600</v>
      </c>
      <c r="C61" s="26" t="s">
        <v>96</v>
      </c>
      <c r="D61" s="27" t="s">
        <v>97</v>
      </c>
      <c r="E61" s="28" t="s">
        <v>98</v>
      </c>
      <c r="F61" s="29" t="s">
        <v>33</v>
      </c>
      <c r="G61" s="30" t="s">
        <v>34</v>
      </c>
      <c r="H61" s="31" t="s">
        <v>15</v>
      </c>
    </row>
    <row r="62" spans="1:8" ht="18" customHeight="1" x14ac:dyDescent="0.2">
      <c r="A62" s="24">
        <v>7620</v>
      </c>
      <c r="B62" s="25">
        <v>8620</v>
      </c>
      <c r="C62" s="26" t="s">
        <v>99</v>
      </c>
      <c r="D62" s="27" t="s">
        <v>97</v>
      </c>
      <c r="E62" s="28" t="s">
        <v>98</v>
      </c>
      <c r="F62" s="29" t="s">
        <v>33</v>
      </c>
      <c r="G62" s="30" t="s">
        <v>34</v>
      </c>
      <c r="H62" s="31" t="s">
        <v>15</v>
      </c>
    </row>
    <row r="63" spans="1:8" ht="18" customHeight="1" x14ac:dyDescent="0.2">
      <c r="A63" s="24">
        <v>7640</v>
      </c>
      <c r="B63" s="25">
        <v>8640</v>
      </c>
      <c r="C63" s="26" t="s">
        <v>100</v>
      </c>
      <c r="D63" s="27" t="s">
        <v>97</v>
      </c>
      <c r="E63" s="28" t="s">
        <v>98</v>
      </c>
      <c r="F63" s="29" t="s">
        <v>33</v>
      </c>
      <c r="G63" s="30" t="s">
        <v>34</v>
      </c>
      <c r="H63" s="31" t="s">
        <v>15</v>
      </c>
    </row>
    <row r="64" spans="1:8" ht="13.5" customHeight="1" x14ac:dyDescent="0.2">
      <c r="A64" s="13" t="s">
        <v>101</v>
      </c>
      <c r="B64" s="13"/>
      <c r="C64" s="13"/>
      <c r="D64" s="13"/>
      <c r="E64" s="13"/>
      <c r="F64" s="13"/>
      <c r="G64" s="13"/>
      <c r="H64" s="13"/>
    </row>
    <row r="65" spans="1:8" ht="18" customHeight="1" x14ac:dyDescent="0.2">
      <c r="A65" s="41">
        <v>100</v>
      </c>
      <c r="B65" s="42">
        <v>100</v>
      </c>
      <c r="C65" s="43" t="s">
        <v>102</v>
      </c>
      <c r="D65" s="44" t="s">
        <v>103</v>
      </c>
      <c r="E65" s="45" t="s">
        <v>104</v>
      </c>
      <c r="F65" s="46" t="s">
        <v>105</v>
      </c>
      <c r="G65" s="47" t="s">
        <v>14</v>
      </c>
      <c r="H65" s="48" t="s">
        <v>15</v>
      </c>
    </row>
    <row r="66" spans="1:8" ht="18" customHeight="1" x14ac:dyDescent="0.2">
      <c r="A66" s="41">
        <v>200</v>
      </c>
      <c r="B66" s="42">
        <v>200</v>
      </c>
      <c r="C66" s="43" t="s">
        <v>106</v>
      </c>
      <c r="D66" s="44" t="s">
        <v>103</v>
      </c>
      <c r="E66" s="45" t="s">
        <v>104</v>
      </c>
      <c r="F66" s="46" t="s">
        <v>105</v>
      </c>
      <c r="G66" s="47" t="s">
        <v>14</v>
      </c>
      <c r="H66" s="48" t="s">
        <v>15</v>
      </c>
    </row>
    <row r="67" spans="1:8" ht="18" customHeight="1" x14ac:dyDescent="0.2">
      <c r="A67" s="41">
        <v>400</v>
      </c>
      <c r="B67" s="42">
        <v>400</v>
      </c>
      <c r="C67" s="43" t="s">
        <v>107</v>
      </c>
      <c r="D67" s="44" t="s">
        <v>103</v>
      </c>
      <c r="E67" s="45" t="s">
        <v>104</v>
      </c>
      <c r="F67" s="46" t="s">
        <v>105</v>
      </c>
      <c r="G67" s="47" t="s">
        <v>14</v>
      </c>
      <c r="H67" s="48" t="s">
        <v>15</v>
      </c>
    </row>
    <row r="68" spans="1:8" ht="18" customHeight="1" x14ac:dyDescent="0.2">
      <c r="A68" s="41">
        <v>650</v>
      </c>
      <c r="B68" s="42">
        <v>650</v>
      </c>
      <c r="C68" s="43" t="s">
        <v>108</v>
      </c>
      <c r="D68" s="44" t="s">
        <v>103</v>
      </c>
      <c r="E68" s="45" t="s">
        <v>104</v>
      </c>
      <c r="F68" s="46" t="s">
        <v>105</v>
      </c>
      <c r="G68" s="47" t="s">
        <v>14</v>
      </c>
      <c r="H68" s="48" t="s">
        <v>15</v>
      </c>
    </row>
    <row r="69" spans="1:8" ht="18" customHeight="1" x14ac:dyDescent="0.2">
      <c r="A69" s="41">
        <v>800</v>
      </c>
      <c r="B69" s="42">
        <v>800</v>
      </c>
      <c r="C69" s="43" t="s">
        <v>109</v>
      </c>
      <c r="D69" s="44" t="s">
        <v>103</v>
      </c>
      <c r="E69" s="45" t="s">
        <v>104</v>
      </c>
      <c r="F69" s="46" t="s">
        <v>105</v>
      </c>
      <c r="G69" s="47" t="s">
        <v>14</v>
      </c>
      <c r="H69" s="48" t="s">
        <v>15</v>
      </c>
    </row>
    <row r="70" spans="1:8" ht="18" customHeight="1" x14ac:dyDescent="0.2">
      <c r="A70" s="41">
        <v>1000</v>
      </c>
      <c r="B70" s="42">
        <v>1000</v>
      </c>
      <c r="C70" s="43" t="s">
        <v>110</v>
      </c>
      <c r="D70" s="44" t="s">
        <v>111</v>
      </c>
      <c r="E70" s="45" t="s">
        <v>112</v>
      </c>
      <c r="F70" s="46" t="s">
        <v>105</v>
      </c>
      <c r="G70" s="47" t="s">
        <v>14</v>
      </c>
      <c r="H70" s="48" t="s">
        <v>15</v>
      </c>
    </row>
    <row r="71" spans="1:8" ht="18" customHeight="1" x14ac:dyDescent="0.2">
      <c r="A71" s="41">
        <v>1200</v>
      </c>
      <c r="B71" s="42">
        <v>1800</v>
      </c>
      <c r="C71" s="43" t="s">
        <v>113</v>
      </c>
      <c r="D71" s="44" t="s">
        <v>114</v>
      </c>
      <c r="E71" s="45" t="s">
        <v>112</v>
      </c>
      <c r="F71" s="46" t="s">
        <v>105</v>
      </c>
      <c r="G71" s="47" t="s">
        <v>14</v>
      </c>
      <c r="H71" s="48" t="s">
        <v>15</v>
      </c>
    </row>
    <row r="72" spans="1:8" ht="18" customHeight="1" x14ac:dyDescent="0.2">
      <c r="A72" s="41">
        <v>1210</v>
      </c>
      <c r="B72" s="42">
        <v>1810</v>
      </c>
      <c r="C72" s="43" t="s">
        <v>115</v>
      </c>
      <c r="D72" s="44" t="s">
        <v>114</v>
      </c>
      <c r="E72" s="45" t="s">
        <v>112</v>
      </c>
      <c r="F72" s="46" t="s">
        <v>105</v>
      </c>
      <c r="G72" s="47" t="s">
        <v>14</v>
      </c>
      <c r="H72" s="48" t="s">
        <v>15</v>
      </c>
    </row>
    <row r="73" spans="1:8" ht="18" customHeight="1" x14ac:dyDescent="0.2">
      <c r="A73" s="41">
        <v>1400</v>
      </c>
      <c r="B73" s="42">
        <v>1200</v>
      </c>
      <c r="C73" s="43" t="s">
        <v>116</v>
      </c>
      <c r="D73" s="44" t="s">
        <v>117</v>
      </c>
      <c r="E73" s="45" t="s">
        <v>112</v>
      </c>
      <c r="F73" s="46" t="s">
        <v>105</v>
      </c>
      <c r="G73" s="47" t="s">
        <v>14</v>
      </c>
      <c r="H73" s="48" t="s">
        <v>15</v>
      </c>
    </row>
    <row r="74" spans="1:8" ht="18" customHeight="1" x14ac:dyDescent="0.2">
      <c r="A74" s="41">
        <v>1410</v>
      </c>
      <c r="B74" s="42">
        <v>1210</v>
      </c>
      <c r="C74" s="43" t="s">
        <v>118</v>
      </c>
      <c r="D74" s="44" t="s">
        <v>117</v>
      </c>
      <c r="E74" s="45" t="s">
        <v>112</v>
      </c>
      <c r="F74" s="46" t="s">
        <v>105</v>
      </c>
      <c r="G74" s="47" t="s">
        <v>14</v>
      </c>
      <c r="H74" s="48" t="s">
        <v>15</v>
      </c>
    </row>
    <row r="75" spans="1:8" ht="18" customHeight="1" x14ac:dyDescent="0.2">
      <c r="A75" s="41">
        <v>1460</v>
      </c>
      <c r="B75" s="42">
        <v>1260</v>
      </c>
      <c r="C75" s="43" t="s">
        <v>119</v>
      </c>
      <c r="D75" s="44" t="s">
        <v>117</v>
      </c>
      <c r="E75" s="45" t="s">
        <v>112</v>
      </c>
      <c r="F75" s="46" t="s">
        <v>105</v>
      </c>
      <c r="G75" s="47" t="s">
        <v>14</v>
      </c>
      <c r="H75" s="48" t="s">
        <v>15</v>
      </c>
    </row>
    <row r="76" spans="1:8" ht="18" customHeight="1" x14ac:dyDescent="0.2">
      <c r="A76" s="41">
        <v>1500</v>
      </c>
      <c r="B76" s="42">
        <v>1400</v>
      </c>
      <c r="C76" s="43" t="s">
        <v>120</v>
      </c>
      <c r="D76" s="44" t="s">
        <v>121</v>
      </c>
      <c r="E76" s="45" t="s">
        <v>112</v>
      </c>
      <c r="F76" s="46" t="s">
        <v>105</v>
      </c>
      <c r="G76" s="47" t="s">
        <v>14</v>
      </c>
      <c r="H76" s="48" t="s">
        <v>15</v>
      </c>
    </row>
    <row r="77" spans="1:8" ht="18" customHeight="1" x14ac:dyDescent="0.2">
      <c r="A77" s="41">
        <v>1570</v>
      </c>
      <c r="B77" s="42">
        <v>1570</v>
      </c>
      <c r="C77" s="43" t="s">
        <v>122</v>
      </c>
      <c r="D77" s="44" t="s">
        <v>123</v>
      </c>
      <c r="E77" s="45" t="s">
        <v>112</v>
      </c>
      <c r="F77" s="46" t="s">
        <v>105</v>
      </c>
      <c r="G77" s="47" t="s">
        <v>14</v>
      </c>
      <c r="H77" s="48" t="s">
        <v>15</v>
      </c>
    </row>
    <row r="78" spans="1:8" ht="18" customHeight="1" x14ac:dyDescent="0.2">
      <c r="A78" s="41">
        <v>1576</v>
      </c>
      <c r="B78" s="42">
        <v>1576</v>
      </c>
      <c r="C78" s="43" t="s">
        <v>124</v>
      </c>
      <c r="D78" s="44" t="s">
        <v>123</v>
      </c>
      <c r="E78" s="45" t="s">
        <v>112</v>
      </c>
      <c r="F78" s="46" t="s">
        <v>105</v>
      </c>
      <c r="G78" s="47" t="s">
        <v>14</v>
      </c>
      <c r="H78" s="48" t="s">
        <v>15</v>
      </c>
    </row>
    <row r="79" spans="1:8" ht="13.5" customHeight="1" x14ac:dyDescent="0.2">
      <c r="A79" s="13" t="s">
        <v>125</v>
      </c>
      <c r="B79" s="13"/>
      <c r="C79" s="13"/>
      <c r="D79" s="13"/>
      <c r="E79" s="13"/>
      <c r="F79" s="13"/>
      <c r="G79" s="13"/>
      <c r="H79" s="13"/>
    </row>
    <row r="80" spans="1:8" ht="18" customHeight="1" x14ac:dyDescent="0.2">
      <c r="A80" s="49">
        <v>2000</v>
      </c>
      <c r="B80" s="50">
        <v>3000</v>
      </c>
      <c r="C80" s="51" t="s">
        <v>126</v>
      </c>
      <c r="D80" s="52" t="s">
        <v>127</v>
      </c>
      <c r="E80" s="53" t="s">
        <v>128</v>
      </c>
      <c r="F80" s="54" t="s">
        <v>129</v>
      </c>
      <c r="G80" s="55" t="s">
        <v>14</v>
      </c>
      <c r="H80" s="56" t="s">
        <v>15</v>
      </c>
    </row>
    <row r="81" spans="1:8" ht="18" customHeight="1" x14ac:dyDescent="0.2">
      <c r="A81" s="49">
        <v>2010</v>
      </c>
      <c r="B81" s="50">
        <v>3010</v>
      </c>
      <c r="C81" s="51" t="s">
        <v>130</v>
      </c>
      <c r="D81" s="52" t="s">
        <v>127</v>
      </c>
      <c r="E81" s="53" t="s">
        <v>128</v>
      </c>
      <c r="F81" s="54" t="s">
        <v>129</v>
      </c>
      <c r="G81" s="55" t="s">
        <v>14</v>
      </c>
      <c r="H81" s="56" t="s">
        <v>15</v>
      </c>
    </row>
    <row r="82" spans="1:8" ht="18" customHeight="1" x14ac:dyDescent="0.2">
      <c r="A82" s="49">
        <v>2020</v>
      </c>
      <c r="B82" s="50">
        <v>3020</v>
      </c>
      <c r="C82" s="51" t="s">
        <v>131</v>
      </c>
      <c r="D82" s="52" t="s">
        <v>127</v>
      </c>
      <c r="E82" s="53" t="s">
        <v>128</v>
      </c>
      <c r="F82" s="54" t="s">
        <v>129</v>
      </c>
      <c r="G82" s="55" t="s">
        <v>14</v>
      </c>
      <c r="H82" s="56" t="s">
        <v>15</v>
      </c>
    </row>
    <row r="83" spans="1:8" ht="18" customHeight="1" x14ac:dyDescent="0.2">
      <c r="A83" s="49">
        <v>2030</v>
      </c>
      <c r="B83" s="50">
        <v>3030</v>
      </c>
      <c r="C83" s="51" t="s">
        <v>132</v>
      </c>
      <c r="D83" s="52" t="s">
        <v>127</v>
      </c>
      <c r="E83" s="53" t="s">
        <v>128</v>
      </c>
      <c r="F83" s="54" t="s">
        <v>129</v>
      </c>
      <c r="G83" s="55" t="s">
        <v>14</v>
      </c>
      <c r="H83" s="56" t="s">
        <v>15</v>
      </c>
    </row>
    <row r="84" spans="1:8" ht="18" customHeight="1" x14ac:dyDescent="0.2">
      <c r="A84" s="49">
        <v>2100</v>
      </c>
      <c r="B84" s="50">
        <v>3500</v>
      </c>
      <c r="C84" s="51" t="s">
        <v>133</v>
      </c>
      <c r="D84" s="52" t="s">
        <v>134</v>
      </c>
      <c r="E84" s="53" t="s">
        <v>135</v>
      </c>
      <c r="F84" s="54" t="s">
        <v>129</v>
      </c>
      <c r="G84" s="55" t="s">
        <v>14</v>
      </c>
      <c r="H84" s="56" t="s">
        <v>15</v>
      </c>
    </row>
    <row r="85" spans="1:8" ht="18" customHeight="1" x14ac:dyDescent="0.2">
      <c r="A85" s="49">
        <v>2110</v>
      </c>
      <c r="B85" s="50">
        <v>3510</v>
      </c>
      <c r="C85" s="51" t="s">
        <v>136</v>
      </c>
      <c r="D85" s="52" t="s">
        <v>134</v>
      </c>
      <c r="E85" s="53" t="s">
        <v>135</v>
      </c>
      <c r="F85" s="54" t="s">
        <v>129</v>
      </c>
      <c r="G85" s="55" t="s">
        <v>14</v>
      </c>
      <c r="H85" s="56" t="s">
        <v>15</v>
      </c>
    </row>
    <row r="86" spans="1:8" ht="18" customHeight="1" x14ac:dyDescent="0.2">
      <c r="A86" s="49">
        <v>1600</v>
      </c>
      <c r="B86" s="50">
        <v>3200</v>
      </c>
      <c r="C86" s="51" t="s">
        <v>137</v>
      </c>
      <c r="D86" s="52" t="s">
        <v>134</v>
      </c>
      <c r="E86" s="53" t="s">
        <v>135</v>
      </c>
      <c r="F86" s="54" t="s">
        <v>129</v>
      </c>
      <c r="G86" s="55" t="s">
        <v>14</v>
      </c>
      <c r="H86" s="56" t="s">
        <v>15</v>
      </c>
    </row>
    <row r="87" spans="1:8" ht="18" customHeight="1" x14ac:dyDescent="0.2">
      <c r="A87" s="49">
        <v>1700</v>
      </c>
      <c r="B87" s="50">
        <v>3730</v>
      </c>
      <c r="C87" s="51" t="s">
        <v>138</v>
      </c>
      <c r="D87" s="52" t="s">
        <v>139</v>
      </c>
      <c r="E87" s="53" t="s">
        <v>135</v>
      </c>
      <c r="F87" s="54" t="s">
        <v>129</v>
      </c>
      <c r="G87" s="55" t="s">
        <v>14</v>
      </c>
      <c r="H87" s="56" t="s">
        <v>15</v>
      </c>
    </row>
    <row r="88" spans="1:8" ht="18" customHeight="1" x14ac:dyDescent="0.2">
      <c r="A88" s="49">
        <v>1740</v>
      </c>
      <c r="B88" s="50">
        <v>3740</v>
      </c>
      <c r="C88" s="51" t="s">
        <v>140</v>
      </c>
      <c r="D88" s="52" t="s">
        <v>139</v>
      </c>
      <c r="E88" s="53" t="s">
        <v>135</v>
      </c>
      <c r="F88" s="54" t="s">
        <v>129</v>
      </c>
      <c r="G88" s="55" t="s">
        <v>14</v>
      </c>
      <c r="H88" s="56" t="s">
        <v>15</v>
      </c>
    </row>
    <row r="89" spans="1:8" ht="18" customHeight="1" x14ac:dyDescent="0.2">
      <c r="A89" s="49">
        <v>1800</v>
      </c>
      <c r="B89" s="50">
        <v>3980</v>
      </c>
      <c r="C89" s="51" t="s">
        <v>141</v>
      </c>
      <c r="D89" s="52" t="s">
        <v>134</v>
      </c>
      <c r="E89" s="53" t="s">
        <v>135</v>
      </c>
      <c r="F89" s="54" t="s">
        <v>129</v>
      </c>
      <c r="G89" s="55" t="s">
        <v>14</v>
      </c>
      <c r="H89" s="56" t="s">
        <v>15</v>
      </c>
    </row>
    <row r="90" spans="1:8" ht="18" customHeight="1" x14ac:dyDescent="0.2">
      <c r="A90" s="49">
        <v>1900</v>
      </c>
      <c r="B90" s="50">
        <v>3900</v>
      </c>
      <c r="C90" s="51" t="s">
        <v>142</v>
      </c>
      <c r="D90" s="52" t="s">
        <v>143</v>
      </c>
      <c r="E90" s="53" t="s">
        <v>144</v>
      </c>
      <c r="F90" s="54" t="s">
        <v>129</v>
      </c>
      <c r="G90" s="55" t="s">
        <v>14</v>
      </c>
      <c r="H90" s="56" t="s">
        <v>15</v>
      </c>
    </row>
    <row r="91" spans="1:8" ht="18" customHeight="1" x14ac:dyDescent="0.2">
      <c r="A91" s="49">
        <v>1910</v>
      </c>
      <c r="B91" s="50">
        <v>3910</v>
      </c>
      <c r="C91" s="51" t="s">
        <v>145</v>
      </c>
      <c r="D91" s="52" t="s">
        <v>143</v>
      </c>
      <c r="E91" s="53" t="s">
        <v>144</v>
      </c>
      <c r="F91" s="54" t="s">
        <v>129</v>
      </c>
      <c r="G91" s="55" t="s">
        <v>14</v>
      </c>
      <c r="H91" s="56" t="s">
        <v>15</v>
      </c>
    </row>
    <row r="92" spans="1:8" ht="18" customHeight="1" x14ac:dyDescent="0.2">
      <c r="A92" s="49">
        <v>1920</v>
      </c>
      <c r="B92" s="50">
        <v>3920</v>
      </c>
      <c r="C92" s="51" t="s">
        <v>146</v>
      </c>
      <c r="D92" s="52" t="s">
        <v>143</v>
      </c>
      <c r="E92" s="53" t="s">
        <v>144</v>
      </c>
      <c r="F92" s="54" t="s">
        <v>129</v>
      </c>
      <c r="G92" s="55" t="s">
        <v>14</v>
      </c>
      <c r="H92" s="56" t="s">
        <v>15</v>
      </c>
    </row>
  </sheetData>
  <mergeCells count="7">
    <mergeCell ref="A64:H64"/>
    <mergeCell ref="A79:H79"/>
    <mergeCell ref="A1:H1"/>
    <mergeCell ref="A3:H3"/>
    <mergeCell ref="A14:H14"/>
    <mergeCell ref="A54:H54"/>
    <mergeCell ref="A57:H5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94560"/>
  </sheetPr>
  <dimension ref="A1:N125"/>
  <sheetViews>
    <sheetView showGridLines="0" zoomScaleNormal="100" workbookViewId="0">
      <pane ySplit="3" topLeftCell="A4" activePane="bottomLeft" state="frozen"/>
      <selection pane="bottomLeft" sqref="A1:N1"/>
    </sheetView>
  </sheetViews>
  <sheetFormatPr baseColWidth="10" defaultColWidth="8.6640625" defaultRowHeight="15" x14ac:dyDescent="0.2"/>
  <cols>
    <col min="1" max="1" width="12" customWidth="1"/>
    <col min="2" max="2" width="22" customWidth="1"/>
    <col min="3" max="4" width="8" customWidth="1"/>
    <col min="5" max="5" width="32" customWidth="1"/>
    <col min="6" max="6" width="24" customWidth="1"/>
    <col min="7" max="11" width="14" customWidth="1"/>
    <col min="12" max="12" width="18" customWidth="1"/>
    <col min="13" max="13" width="14" customWidth="1"/>
    <col min="14" max="14" width="12" customWidth="1"/>
  </cols>
  <sheetData>
    <row r="1" spans="1:14" ht="30" customHeight="1" x14ac:dyDescent="0.2">
      <c r="A1" s="14" t="s">
        <v>147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5" customHeight="1" x14ac:dyDescent="0.2">
      <c r="A2" s="12" t="s">
        <v>148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1.75" customHeight="1" x14ac:dyDescent="0.2">
      <c r="A3" s="57" t="s">
        <v>149</v>
      </c>
      <c r="B3" s="57" t="s">
        <v>150</v>
      </c>
      <c r="C3" s="57" t="s">
        <v>151</v>
      </c>
      <c r="D3" s="57" t="s">
        <v>152</v>
      </c>
      <c r="E3" s="57" t="s">
        <v>3</v>
      </c>
      <c r="F3" s="57" t="s">
        <v>153</v>
      </c>
      <c r="G3" s="57" t="s">
        <v>154</v>
      </c>
      <c r="H3" s="57" t="s">
        <v>155</v>
      </c>
      <c r="I3" s="57" t="s">
        <v>156</v>
      </c>
      <c r="J3" s="57" t="s">
        <v>157</v>
      </c>
      <c r="K3" s="57" t="s">
        <v>158</v>
      </c>
      <c r="L3" s="57" t="s">
        <v>159</v>
      </c>
      <c r="M3" s="57" t="s">
        <v>160</v>
      </c>
      <c r="N3" s="57" t="s">
        <v>161</v>
      </c>
    </row>
    <row r="4" spans="1:14" ht="18" customHeight="1" x14ac:dyDescent="0.2">
      <c r="A4" s="58" t="s">
        <v>162</v>
      </c>
      <c r="B4" s="59" t="s">
        <v>163</v>
      </c>
      <c r="C4" s="60">
        <v>8000</v>
      </c>
      <c r="D4" s="60">
        <v>4000</v>
      </c>
      <c r="E4" s="59" t="s">
        <v>164</v>
      </c>
      <c r="F4" s="38" t="str">
        <f>IFERROR(VLOOKUP(C4,'00_Kontenrahmen'!$A$3:$H$200,4,FALSE()),"⚠ Nicht gefunden")</f>
        <v>Umsatz</v>
      </c>
      <c r="G4" s="61"/>
      <c r="H4" s="62">
        <v>92300</v>
      </c>
      <c r="I4" s="63">
        <v>92300</v>
      </c>
      <c r="J4" s="64">
        <v>92300</v>
      </c>
      <c r="K4" s="65" t="str">
        <f>IFERROR(VLOOKUP(C4,'00_Kontenrahmen'!$A$3:$H$200,5,FALSE()),"")</f>
        <v>GuV: Umsatzerlöse</v>
      </c>
      <c r="L4" s="59" t="s">
        <v>165</v>
      </c>
      <c r="M4" s="66" t="s">
        <v>166</v>
      </c>
      <c r="N4" s="23" t="s">
        <v>167</v>
      </c>
    </row>
    <row r="5" spans="1:14" ht="18" customHeight="1" x14ac:dyDescent="0.2">
      <c r="A5" s="67" t="s">
        <v>162</v>
      </c>
      <c r="B5" s="68" t="s">
        <v>163</v>
      </c>
      <c r="C5" s="69">
        <v>3000</v>
      </c>
      <c r="D5" s="69">
        <v>5000</v>
      </c>
      <c r="E5" s="68" t="s">
        <v>168</v>
      </c>
      <c r="F5" s="38" t="str">
        <f>IFERROR(VLOOKUP(C5,'00_Kontenrahmen'!$A$3:$H$200,4,FALSE()),"⚠ Nicht gefunden")</f>
        <v>Wareneinsatz</v>
      </c>
      <c r="G5" s="70">
        <v>31000</v>
      </c>
      <c r="H5" s="71"/>
      <c r="I5" s="72">
        <v>-31000</v>
      </c>
      <c r="J5" s="73">
        <v>31000</v>
      </c>
      <c r="K5" s="65" t="str">
        <f>IFERROR(VLOOKUP(C5,'00_Kontenrahmen'!$A$3:$H$200,5,FALSE()),"")</f>
        <v>GuV: Materialaufwand</v>
      </c>
      <c r="L5" s="68" t="s">
        <v>169</v>
      </c>
      <c r="M5" s="74" t="s">
        <v>166</v>
      </c>
      <c r="N5" s="23" t="s">
        <v>167</v>
      </c>
    </row>
    <row r="6" spans="1:14" ht="18" customHeight="1" x14ac:dyDescent="0.2">
      <c r="A6" s="67" t="s">
        <v>162</v>
      </c>
      <c r="B6" s="68" t="s">
        <v>163</v>
      </c>
      <c r="C6" s="69">
        <v>4100</v>
      </c>
      <c r="D6" s="69">
        <v>6000</v>
      </c>
      <c r="E6" s="68" t="s">
        <v>42</v>
      </c>
      <c r="F6" s="38" t="str">
        <f>IFERROR(VLOOKUP(C6,'00_Kontenrahmen'!$A$3:$H$200,4,FALSE()),"⚠ Nicht gefunden")</f>
        <v>Personal</v>
      </c>
      <c r="G6" s="70">
        <v>22000</v>
      </c>
      <c r="H6" s="71"/>
      <c r="I6" s="72">
        <v>-22000</v>
      </c>
      <c r="J6" s="73">
        <v>22000</v>
      </c>
      <c r="K6" s="65" t="str">
        <f>IFERROR(VLOOKUP(C6,'00_Kontenrahmen'!$A$3:$H$200,5,FALSE()),"")</f>
        <v>GuV: Personalaufwand</v>
      </c>
      <c r="L6" s="68" t="s">
        <v>43</v>
      </c>
      <c r="M6" s="74" t="s">
        <v>166</v>
      </c>
      <c r="N6" s="23" t="s">
        <v>167</v>
      </c>
    </row>
    <row r="7" spans="1:14" ht="18" customHeight="1" x14ac:dyDescent="0.2">
      <c r="A7" s="67" t="s">
        <v>162</v>
      </c>
      <c r="B7" s="68" t="s">
        <v>163</v>
      </c>
      <c r="C7" s="69">
        <v>4830</v>
      </c>
      <c r="D7" s="69">
        <v>6830</v>
      </c>
      <c r="E7" s="68" t="s">
        <v>170</v>
      </c>
      <c r="F7" s="38" t="str">
        <f>IFERROR(VLOOKUP(C7,'00_Kontenrahmen'!$A$3:$H$200,4,FALSE()),"⚠ Nicht gefunden")</f>
        <v>Büro &amp; IT</v>
      </c>
      <c r="G7" s="70">
        <v>8500</v>
      </c>
      <c r="H7" s="71"/>
      <c r="I7" s="72">
        <v>-8500</v>
      </c>
      <c r="J7" s="73">
        <v>8500</v>
      </c>
      <c r="K7" s="65" t="str">
        <f>IFERROR(VLOOKUP(C7,'00_Kontenrahmen'!$A$3:$H$200,5,FALSE()),"")</f>
        <v>GuV: Sonstige betriebliche Aufwände</v>
      </c>
      <c r="L7" s="68" t="s">
        <v>171</v>
      </c>
      <c r="M7" s="74" t="s">
        <v>166</v>
      </c>
      <c r="N7" s="23" t="s">
        <v>167</v>
      </c>
    </row>
    <row r="8" spans="1:14" ht="18" customHeight="1" x14ac:dyDescent="0.2">
      <c r="A8" s="67" t="s">
        <v>162</v>
      </c>
      <c r="B8" s="68" t="s">
        <v>163</v>
      </c>
      <c r="C8" s="69">
        <v>4210</v>
      </c>
      <c r="D8" s="69">
        <v>6300</v>
      </c>
      <c r="E8" s="68" t="s">
        <v>53</v>
      </c>
      <c r="F8" s="38" t="str">
        <f>IFERROR(VLOOKUP(C8,'00_Kontenrahmen'!$A$3:$H$200,4,FALSE()),"⚠ Nicht gefunden")</f>
        <v>Raumkosten</v>
      </c>
      <c r="G8" s="70">
        <v>4200</v>
      </c>
      <c r="H8" s="71"/>
      <c r="I8" s="72">
        <v>-4200</v>
      </c>
      <c r="J8" s="73">
        <v>4200</v>
      </c>
      <c r="K8" s="65" t="str">
        <f>IFERROR(VLOOKUP(C8,'00_Kontenrahmen'!$A$3:$H$200,5,FALSE()),"")</f>
        <v>GuV: Sonstige betriebliche Aufwände</v>
      </c>
      <c r="L8" s="68" t="s">
        <v>172</v>
      </c>
      <c r="M8" s="74" t="s">
        <v>166</v>
      </c>
      <c r="N8" s="23" t="s">
        <v>167</v>
      </c>
    </row>
    <row r="9" spans="1:14" ht="18" customHeight="1" x14ac:dyDescent="0.2">
      <c r="A9" s="67" t="s">
        <v>162</v>
      </c>
      <c r="B9" s="68" t="s">
        <v>163</v>
      </c>
      <c r="C9" s="69">
        <v>4600</v>
      </c>
      <c r="D9" s="69">
        <v>6600</v>
      </c>
      <c r="E9" s="68" t="s">
        <v>62</v>
      </c>
      <c r="F9" s="38" t="str">
        <f>IFERROR(VLOOKUP(C9,'00_Kontenrahmen'!$A$3:$H$200,4,FALSE()),"⚠ Nicht gefunden")</f>
        <v>Marketing</v>
      </c>
      <c r="G9" s="70">
        <v>2800</v>
      </c>
      <c r="H9" s="71"/>
      <c r="I9" s="72">
        <v>-2800</v>
      </c>
      <c r="J9" s="73">
        <v>2800</v>
      </c>
      <c r="K9" s="65" t="str">
        <f>IFERROR(VLOOKUP(C9,'00_Kontenrahmen'!$A$3:$H$200,5,FALSE()),"")</f>
        <v>GuV: Sonstige betriebliche Aufwände</v>
      </c>
      <c r="L9" s="68" t="s">
        <v>63</v>
      </c>
      <c r="M9" s="74" t="s">
        <v>166</v>
      </c>
      <c r="N9" s="23" t="s">
        <v>167</v>
      </c>
    </row>
    <row r="10" spans="1:14" ht="18" customHeight="1" x14ac:dyDescent="0.2">
      <c r="A10" s="67" t="s">
        <v>162</v>
      </c>
      <c r="B10" s="68" t="s">
        <v>163</v>
      </c>
      <c r="C10" s="69">
        <v>4900</v>
      </c>
      <c r="D10" s="69">
        <v>6980</v>
      </c>
      <c r="E10" s="68" t="s">
        <v>82</v>
      </c>
      <c r="F10" s="38" t="str">
        <f>IFERROR(VLOOKUP(C10,'00_Kontenrahmen'!$A$3:$H$200,4,FALSE()),"⚠ Nicht gefunden")</f>
        <v>Sonstige</v>
      </c>
      <c r="G10" s="70">
        <v>1770</v>
      </c>
      <c r="H10" s="71"/>
      <c r="I10" s="72">
        <v>-1770</v>
      </c>
      <c r="J10" s="73">
        <v>1770</v>
      </c>
      <c r="K10" s="65" t="str">
        <f>IFERROR(VLOOKUP(C10,'00_Kontenrahmen'!$A$3:$H$200,5,FALSE()),"")</f>
        <v>GuV: Sonstige betriebliche Aufwände</v>
      </c>
      <c r="L10" s="68" t="s">
        <v>172</v>
      </c>
      <c r="M10" s="74" t="s">
        <v>166</v>
      </c>
      <c r="N10" s="23" t="s">
        <v>167</v>
      </c>
    </row>
    <row r="11" spans="1:14" ht="18" customHeight="1" x14ac:dyDescent="0.2">
      <c r="A11" s="75" t="s">
        <v>162</v>
      </c>
      <c r="B11" s="76" t="s">
        <v>163</v>
      </c>
      <c r="C11" s="77">
        <v>1200</v>
      </c>
      <c r="D11" s="77">
        <v>1800</v>
      </c>
      <c r="E11" s="76" t="s">
        <v>173</v>
      </c>
      <c r="F11" s="38" t="str">
        <f>IFERROR(VLOOKUP(C11,'00_Kontenrahmen'!$A$3:$H$200,4,FALSE()),"⚠ Nicht gefunden")</f>
        <v>Bankguthaben</v>
      </c>
      <c r="G11" s="78">
        <v>24000</v>
      </c>
      <c r="H11" s="79"/>
      <c r="I11" s="80">
        <v>24000</v>
      </c>
      <c r="J11" s="81">
        <v>24000</v>
      </c>
      <c r="K11" s="65" t="str">
        <f>IFERROR(VLOOKUP(C11,'00_Kontenrahmen'!$A$3:$H$200,5,FALSE()),"")</f>
        <v>Bilanz Aktiva: Umlaufvermögen</v>
      </c>
      <c r="L11" s="76" t="s">
        <v>174</v>
      </c>
      <c r="M11" s="82" t="s">
        <v>166</v>
      </c>
      <c r="N11" s="23" t="s">
        <v>167</v>
      </c>
    </row>
    <row r="12" spans="1:14" ht="18" customHeight="1" x14ac:dyDescent="0.2">
      <c r="A12" s="67" t="s">
        <v>162</v>
      </c>
      <c r="B12" s="68" t="s">
        <v>163</v>
      </c>
      <c r="C12" s="69">
        <v>1400</v>
      </c>
      <c r="D12" s="69">
        <v>1200</v>
      </c>
      <c r="E12" s="68" t="s">
        <v>116</v>
      </c>
      <c r="F12" s="38" t="str">
        <f>IFERROR(VLOOKUP(C12,'00_Kontenrahmen'!$A$3:$H$200,4,FALSE()),"⚠ Nicht gefunden")</f>
        <v>Forderungen</v>
      </c>
      <c r="G12" s="70">
        <v>45000</v>
      </c>
      <c r="H12" s="71"/>
      <c r="I12" s="72">
        <v>-45000</v>
      </c>
      <c r="J12" s="73">
        <v>45000</v>
      </c>
      <c r="K12" s="65" t="str">
        <f>IFERROR(VLOOKUP(C12,'00_Kontenrahmen'!$A$3:$H$200,5,FALSE()),"")</f>
        <v>Bilanz Aktiva: Umlaufvermögen</v>
      </c>
      <c r="L12" s="68" t="s">
        <v>174</v>
      </c>
      <c r="M12" s="74" t="s">
        <v>166</v>
      </c>
      <c r="N12" s="23" t="s">
        <v>167</v>
      </c>
    </row>
    <row r="13" spans="1:14" ht="18" customHeight="1" x14ac:dyDescent="0.2">
      <c r="A13" s="58" t="s">
        <v>162</v>
      </c>
      <c r="B13" s="59" t="s">
        <v>163</v>
      </c>
      <c r="C13" s="60">
        <v>1600</v>
      </c>
      <c r="D13" s="60">
        <v>3200</v>
      </c>
      <c r="E13" s="59" t="s">
        <v>175</v>
      </c>
      <c r="F13" s="38" t="str">
        <f>IFERROR(VLOOKUP(C13,'00_Kontenrahmen'!$A$3:$H$200,4,FALSE()),"⚠ Nicht gefunden")</f>
        <v>Fremdkapital</v>
      </c>
      <c r="G13" s="61"/>
      <c r="H13" s="62">
        <v>18500</v>
      </c>
      <c r="I13" s="63">
        <v>18500</v>
      </c>
      <c r="J13" s="64">
        <v>18500</v>
      </c>
      <c r="K13" s="65" t="str">
        <f>IFERROR(VLOOKUP(C13,'00_Kontenrahmen'!$A$3:$H$200,5,FALSE()),"")</f>
        <v>Bilanz Passiva: Verbindlichkeiten</v>
      </c>
      <c r="L13" s="59" t="s">
        <v>174</v>
      </c>
      <c r="M13" s="66" t="s">
        <v>166</v>
      </c>
      <c r="N13" s="23" t="s">
        <v>167</v>
      </c>
    </row>
    <row r="14" spans="1:14" ht="18" customHeight="1" x14ac:dyDescent="0.2">
      <c r="A14" s="58" t="s">
        <v>176</v>
      </c>
      <c r="B14" s="59" t="s">
        <v>163</v>
      </c>
      <c r="C14" s="60">
        <v>8000</v>
      </c>
      <c r="D14" s="60">
        <v>4000</v>
      </c>
      <c r="E14" s="59" t="s">
        <v>164</v>
      </c>
      <c r="F14" s="38" t="str">
        <f>IFERROR(VLOOKUP(C14,'00_Kontenrahmen'!$A$3:$H$200,4,FALSE()),"⚠ Nicht gefunden")</f>
        <v>Umsatz</v>
      </c>
      <c r="G14" s="61"/>
      <c r="H14" s="62">
        <v>95550</v>
      </c>
      <c r="I14" s="63">
        <v>95550</v>
      </c>
      <c r="J14" s="64">
        <v>95550</v>
      </c>
      <c r="K14" s="65" t="str">
        <f>IFERROR(VLOOKUP(C14,'00_Kontenrahmen'!$A$3:$H$200,5,FALSE()),"")</f>
        <v>GuV: Umsatzerlöse</v>
      </c>
      <c r="L14" s="59" t="s">
        <v>165</v>
      </c>
      <c r="M14" s="66" t="s">
        <v>166</v>
      </c>
      <c r="N14" s="23" t="s">
        <v>167</v>
      </c>
    </row>
    <row r="15" spans="1:14" ht="18" customHeight="1" x14ac:dyDescent="0.2">
      <c r="A15" s="67" t="s">
        <v>176</v>
      </c>
      <c r="B15" s="68" t="s">
        <v>163</v>
      </c>
      <c r="C15" s="69">
        <v>3000</v>
      </c>
      <c r="D15" s="69">
        <v>5000</v>
      </c>
      <c r="E15" s="68" t="s">
        <v>168</v>
      </c>
      <c r="F15" s="38" t="str">
        <f>IFERROR(VLOOKUP(C15,'00_Kontenrahmen'!$A$3:$H$200,4,FALSE()),"⚠ Nicht gefunden")</f>
        <v>Wareneinsatz</v>
      </c>
      <c r="G15" s="70">
        <v>32000</v>
      </c>
      <c r="H15" s="71"/>
      <c r="I15" s="72">
        <v>-32000</v>
      </c>
      <c r="J15" s="73">
        <v>32000</v>
      </c>
      <c r="K15" s="65" t="str">
        <f>IFERROR(VLOOKUP(C15,'00_Kontenrahmen'!$A$3:$H$200,5,FALSE()),"")</f>
        <v>GuV: Materialaufwand</v>
      </c>
      <c r="L15" s="68" t="s">
        <v>169</v>
      </c>
      <c r="M15" s="74" t="s">
        <v>166</v>
      </c>
      <c r="N15" s="23" t="s">
        <v>167</v>
      </c>
    </row>
    <row r="16" spans="1:14" ht="18" customHeight="1" x14ac:dyDescent="0.2">
      <c r="A16" s="67" t="s">
        <v>176</v>
      </c>
      <c r="B16" s="68" t="s">
        <v>163</v>
      </c>
      <c r="C16" s="69">
        <v>4100</v>
      </c>
      <c r="D16" s="69">
        <v>6000</v>
      </c>
      <c r="E16" s="68" t="s">
        <v>42</v>
      </c>
      <c r="F16" s="38" t="str">
        <f>IFERROR(VLOOKUP(C16,'00_Kontenrahmen'!$A$3:$H$200,4,FALSE()),"⚠ Nicht gefunden")</f>
        <v>Personal</v>
      </c>
      <c r="G16" s="70">
        <v>22000</v>
      </c>
      <c r="H16" s="71"/>
      <c r="I16" s="72">
        <v>-22000</v>
      </c>
      <c r="J16" s="73">
        <v>22000</v>
      </c>
      <c r="K16" s="65" t="str">
        <f>IFERROR(VLOOKUP(C16,'00_Kontenrahmen'!$A$3:$H$200,5,FALSE()),"")</f>
        <v>GuV: Personalaufwand</v>
      </c>
      <c r="L16" s="68" t="s">
        <v>43</v>
      </c>
      <c r="M16" s="74" t="s">
        <v>166</v>
      </c>
      <c r="N16" s="23" t="s">
        <v>167</v>
      </c>
    </row>
    <row r="17" spans="1:14" ht="18" customHeight="1" x14ac:dyDescent="0.2">
      <c r="A17" s="67" t="s">
        <v>176</v>
      </c>
      <c r="B17" s="68" t="s">
        <v>163</v>
      </c>
      <c r="C17" s="69">
        <v>4830</v>
      </c>
      <c r="D17" s="69">
        <v>6830</v>
      </c>
      <c r="E17" s="68" t="s">
        <v>170</v>
      </c>
      <c r="F17" s="38" t="str">
        <f>IFERROR(VLOOKUP(C17,'00_Kontenrahmen'!$A$3:$H$200,4,FALSE()),"⚠ Nicht gefunden")</f>
        <v>Büro &amp; IT</v>
      </c>
      <c r="G17" s="70">
        <v>9200</v>
      </c>
      <c r="H17" s="71"/>
      <c r="I17" s="72">
        <v>-9200</v>
      </c>
      <c r="J17" s="73">
        <v>9200</v>
      </c>
      <c r="K17" s="65" t="str">
        <f>IFERROR(VLOOKUP(C17,'00_Kontenrahmen'!$A$3:$H$200,5,FALSE()),"")</f>
        <v>GuV: Sonstige betriebliche Aufwände</v>
      </c>
      <c r="L17" s="68" t="s">
        <v>171</v>
      </c>
      <c r="M17" s="74" t="s">
        <v>166</v>
      </c>
      <c r="N17" s="23" t="s">
        <v>167</v>
      </c>
    </row>
    <row r="18" spans="1:14" ht="18" customHeight="1" x14ac:dyDescent="0.2">
      <c r="A18" s="67" t="s">
        <v>176</v>
      </c>
      <c r="B18" s="68" t="s">
        <v>163</v>
      </c>
      <c r="C18" s="69">
        <v>4210</v>
      </c>
      <c r="D18" s="69">
        <v>6300</v>
      </c>
      <c r="E18" s="68" t="s">
        <v>53</v>
      </c>
      <c r="F18" s="38" t="str">
        <f>IFERROR(VLOOKUP(C18,'00_Kontenrahmen'!$A$3:$H$200,4,FALSE()),"⚠ Nicht gefunden")</f>
        <v>Raumkosten</v>
      </c>
      <c r="G18" s="70">
        <v>4200</v>
      </c>
      <c r="H18" s="71"/>
      <c r="I18" s="72">
        <v>-4200</v>
      </c>
      <c r="J18" s="73">
        <v>4200</v>
      </c>
      <c r="K18" s="65" t="str">
        <f>IFERROR(VLOOKUP(C18,'00_Kontenrahmen'!$A$3:$H$200,5,FALSE()),"")</f>
        <v>GuV: Sonstige betriebliche Aufwände</v>
      </c>
      <c r="L18" s="68" t="s">
        <v>172</v>
      </c>
      <c r="M18" s="74" t="s">
        <v>166</v>
      </c>
      <c r="N18" s="23" t="s">
        <v>167</v>
      </c>
    </row>
    <row r="19" spans="1:14" ht="18" customHeight="1" x14ac:dyDescent="0.2">
      <c r="A19" s="67" t="s">
        <v>176</v>
      </c>
      <c r="B19" s="68" t="s">
        <v>163</v>
      </c>
      <c r="C19" s="69">
        <v>4900</v>
      </c>
      <c r="D19" s="69">
        <v>6980</v>
      </c>
      <c r="E19" s="68" t="s">
        <v>82</v>
      </c>
      <c r="F19" s="38" t="str">
        <f>IFERROR(VLOOKUP(C19,'00_Kontenrahmen'!$A$3:$H$200,4,FALSE()),"⚠ Nicht gefunden")</f>
        <v>Sonstige</v>
      </c>
      <c r="G19" s="70">
        <v>6065</v>
      </c>
      <c r="H19" s="71"/>
      <c r="I19" s="72">
        <v>-6065</v>
      </c>
      <c r="J19" s="73">
        <v>6065</v>
      </c>
      <c r="K19" s="65" t="str">
        <f>IFERROR(VLOOKUP(C19,'00_Kontenrahmen'!$A$3:$H$200,5,FALSE()),"")</f>
        <v>GuV: Sonstige betriebliche Aufwände</v>
      </c>
      <c r="L19" s="68" t="s">
        <v>172</v>
      </c>
      <c r="M19" s="74" t="s">
        <v>166</v>
      </c>
      <c r="N19" s="23" t="s">
        <v>167</v>
      </c>
    </row>
    <row r="20" spans="1:14" ht="18" customHeight="1" x14ac:dyDescent="0.2">
      <c r="A20" s="58" t="s">
        <v>177</v>
      </c>
      <c r="B20" s="59" t="s">
        <v>163</v>
      </c>
      <c r="C20" s="60">
        <v>8000</v>
      </c>
      <c r="D20" s="60">
        <v>4000</v>
      </c>
      <c r="E20" s="59" t="s">
        <v>164</v>
      </c>
      <c r="F20" s="38" t="str">
        <f>IFERROR(VLOOKUP(C20,'00_Kontenrahmen'!$A$3:$H$200,4,FALSE()),"⚠ Nicht gefunden")</f>
        <v>Umsatz</v>
      </c>
      <c r="G20" s="61"/>
      <c r="H20" s="62">
        <v>107070</v>
      </c>
      <c r="I20" s="63">
        <v>107070</v>
      </c>
      <c r="J20" s="64">
        <v>107070</v>
      </c>
      <c r="K20" s="65" t="str">
        <f>IFERROR(VLOOKUP(C20,'00_Kontenrahmen'!$A$3:$H$200,5,FALSE()),"")</f>
        <v>GuV: Umsatzerlöse</v>
      </c>
      <c r="L20" s="59" t="s">
        <v>165</v>
      </c>
      <c r="M20" s="66" t="s">
        <v>166</v>
      </c>
      <c r="N20" s="23" t="s">
        <v>167</v>
      </c>
    </row>
    <row r="21" spans="1:14" ht="18" customHeight="1" x14ac:dyDescent="0.2">
      <c r="A21" s="67" t="s">
        <v>177</v>
      </c>
      <c r="B21" s="68" t="s">
        <v>163</v>
      </c>
      <c r="C21" s="69">
        <v>3000</v>
      </c>
      <c r="D21" s="69">
        <v>5000</v>
      </c>
      <c r="E21" s="68" t="s">
        <v>168</v>
      </c>
      <c r="F21" s="38" t="str">
        <f>IFERROR(VLOOKUP(C21,'00_Kontenrahmen'!$A$3:$H$200,4,FALSE()),"⚠ Nicht gefunden")</f>
        <v>Wareneinsatz</v>
      </c>
      <c r="G21" s="70">
        <v>36000</v>
      </c>
      <c r="H21" s="71"/>
      <c r="I21" s="72">
        <v>-36000</v>
      </c>
      <c r="J21" s="73">
        <v>36000</v>
      </c>
      <c r="K21" s="65" t="str">
        <f>IFERROR(VLOOKUP(C21,'00_Kontenrahmen'!$A$3:$H$200,5,FALSE()),"")</f>
        <v>GuV: Materialaufwand</v>
      </c>
      <c r="L21" s="68" t="s">
        <v>169</v>
      </c>
      <c r="M21" s="74" t="s">
        <v>166</v>
      </c>
      <c r="N21" s="23" t="s">
        <v>167</v>
      </c>
    </row>
    <row r="22" spans="1:14" ht="18" customHeight="1" x14ac:dyDescent="0.2">
      <c r="A22" s="67" t="s">
        <v>177</v>
      </c>
      <c r="B22" s="68" t="s">
        <v>163</v>
      </c>
      <c r="C22" s="69">
        <v>4100</v>
      </c>
      <c r="D22" s="69">
        <v>6000</v>
      </c>
      <c r="E22" s="68" t="s">
        <v>42</v>
      </c>
      <c r="F22" s="38" t="str">
        <f>IFERROR(VLOOKUP(C22,'00_Kontenrahmen'!$A$3:$H$200,4,FALSE()),"⚠ Nicht gefunden")</f>
        <v>Personal</v>
      </c>
      <c r="G22" s="70">
        <v>23500</v>
      </c>
      <c r="H22" s="71"/>
      <c r="I22" s="72">
        <v>-23500</v>
      </c>
      <c r="J22" s="73">
        <v>23500</v>
      </c>
      <c r="K22" s="65" t="str">
        <f>IFERROR(VLOOKUP(C22,'00_Kontenrahmen'!$A$3:$H$200,5,FALSE()),"")</f>
        <v>GuV: Personalaufwand</v>
      </c>
      <c r="L22" s="68" t="s">
        <v>43</v>
      </c>
      <c r="M22" s="74" t="s">
        <v>166</v>
      </c>
      <c r="N22" s="23" t="s">
        <v>167</v>
      </c>
    </row>
    <row r="23" spans="1:14" ht="18" customHeight="1" x14ac:dyDescent="0.2">
      <c r="A23" s="67" t="s">
        <v>177</v>
      </c>
      <c r="B23" s="68" t="s">
        <v>163</v>
      </c>
      <c r="C23" s="69">
        <v>4830</v>
      </c>
      <c r="D23" s="69">
        <v>6830</v>
      </c>
      <c r="E23" s="68" t="s">
        <v>170</v>
      </c>
      <c r="F23" s="38" t="str">
        <f>IFERROR(VLOOKUP(C23,'00_Kontenrahmen'!$A$3:$H$200,4,FALSE()),"⚠ Nicht gefunden")</f>
        <v>Büro &amp; IT</v>
      </c>
      <c r="G23" s="70">
        <v>11200</v>
      </c>
      <c r="H23" s="71"/>
      <c r="I23" s="72">
        <v>-11200</v>
      </c>
      <c r="J23" s="73">
        <v>11200</v>
      </c>
      <c r="K23" s="65" t="str">
        <f>IFERROR(VLOOKUP(C23,'00_Kontenrahmen'!$A$3:$H$200,5,FALSE()),"")</f>
        <v>GuV: Sonstige betriebliche Aufwände</v>
      </c>
      <c r="L23" s="68" t="s">
        <v>171</v>
      </c>
      <c r="M23" s="74" t="s">
        <v>166</v>
      </c>
      <c r="N23" s="23" t="s">
        <v>167</v>
      </c>
    </row>
    <row r="24" spans="1:14" ht="18" customHeight="1" x14ac:dyDescent="0.2">
      <c r="A24" s="67" t="s">
        <v>177</v>
      </c>
      <c r="B24" s="68" t="s">
        <v>163</v>
      </c>
      <c r="C24" s="69">
        <v>4210</v>
      </c>
      <c r="D24" s="69">
        <v>6300</v>
      </c>
      <c r="E24" s="68" t="s">
        <v>53</v>
      </c>
      <c r="F24" s="38" t="str">
        <f>IFERROR(VLOOKUP(C24,'00_Kontenrahmen'!$A$3:$H$200,4,FALSE()),"⚠ Nicht gefunden")</f>
        <v>Raumkosten</v>
      </c>
      <c r="G24" s="70">
        <v>4500</v>
      </c>
      <c r="H24" s="71"/>
      <c r="I24" s="72">
        <v>-4500</v>
      </c>
      <c r="J24" s="73">
        <v>4500</v>
      </c>
      <c r="K24" s="65" t="str">
        <f>IFERROR(VLOOKUP(C24,'00_Kontenrahmen'!$A$3:$H$200,5,FALSE()),"")</f>
        <v>GuV: Sonstige betriebliche Aufwände</v>
      </c>
      <c r="L24" s="68" t="s">
        <v>172</v>
      </c>
      <c r="M24" s="74" t="s">
        <v>166</v>
      </c>
      <c r="N24" s="23" t="s">
        <v>167</v>
      </c>
    </row>
    <row r="25" spans="1:14" ht="18" customHeight="1" x14ac:dyDescent="0.2">
      <c r="A25" s="67" t="s">
        <v>177</v>
      </c>
      <c r="B25" s="68" t="s">
        <v>163</v>
      </c>
      <c r="C25" s="69">
        <v>4600</v>
      </c>
      <c r="D25" s="69">
        <v>6600</v>
      </c>
      <c r="E25" s="68" t="s">
        <v>62</v>
      </c>
      <c r="F25" s="38" t="str">
        <f>IFERROR(VLOOKUP(C25,'00_Kontenrahmen'!$A$3:$H$200,4,FALSE()),"⚠ Nicht gefunden")</f>
        <v>Marketing</v>
      </c>
      <c r="G25" s="70">
        <v>4100</v>
      </c>
      <c r="H25" s="71"/>
      <c r="I25" s="72">
        <v>-4100</v>
      </c>
      <c r="J25" s="73">
        <v>4100</v>
      </c>
      <c r="K25" s="65" t="str">
        <f>IFERROR(VLOOKUP(C25,'00_Kontenrahmen'!$A$3:$H$200,5,FALSE()),"")</f>
        <v>GuV: Sonstige betriebliche Aufwände</v>
      </c>
      <c r="L25" s="68" t="s">
        <v>63</v>
      </c>
      <c r="M25" s="74" t="s">
        <v>166</v>
      </c>
      <c r="N25" s="23" t="s">
        <v>167</v>
      </c>
    </row>
    <row r="26" spans="1:14" ht="18" customHeight="1" x14ac:dyDescent="0.2">
      <c r="A26" s="67" t="s">
        <v>177</v>
      </c>
      <c r="B26" s="68" t="s">
        <v>163</v>
      </c>
      <c r="C26" s="69">
        <v>4900</v>
      </c>
      <c r="D26" s="69">
        <v>6980</v>
      </c>
      <c r="E26" s="68" t="s">
        <v>82</v>
      </c>
      <c r="F26" s="38" t="str">
        <f>IFERROR(VLOOKUP(C26,'00_Kontenrahmen'!$A$3:$H$200,4,FALSE()),"⚠ Nicht gefunden")</f>
        <v>Sonstige</v>
      </c>
      <c r="G26" s="70">
        <v>5660</v>
      </c>
      <c r="H26" s="71"/>
      <c r="I26" s="72">
        <v>-5660</v>
      </c>
      <c r="J26" s="73">
        <v>5660</v>
      </c>
      <c r="K26" s="65" t="str">
        <f>IFERROR(VLOOKUP(C26,'00_Kontenrahmen'!$A$3:$H$200,5,FALSE()),"")</f>
        <v>GuV: Sonstige betriebliche Aufwände</v>
      </c>
      <c r="L26" s="68" t="s">
        <v>172</v>
      </c>
      <c r="M26" s="74" t="s">
        <v>166</v>
      </c>
      <c r="N26" s="23" t="s">
        <v>167</v>
      </c>
    </row>
    <row r="27" spans="1:14" ht="18" customHeight="1" x14ac:dyDescent="0.2">
      <c r="A27" s="58" t="s">
        <v>177</v>
      </c>
      <c r="B27" s="59" t="s">
        <v>178</v>
      </c>
      <c r="C27" s="60">
        <v>8000</v>
      </c>
      <c r="D27" s="60">
        <v>4000</v>
      </c>
      <c r="E27" s="59" t="s">
        <v>164</v>
      </c>
      <c r="F27" s="38" t="str">
        <f>IFERROR(VLOOKUP(C27,'00_Kontenrahmen'!$A$3:$H$200,4,FALSE()),"⚠ Nicht gefunden")</f>
        <v>Umsatz</v>
      </c>
      <c r="G27" s="61"/>
      <c r="H27" s="62">
        <v>102000</v>
      </c>
      <c r="I27" s="63">
        <v>102000</v>
      </c>
      <c r="J27" s="64">
        <v>102000</v>
      </c>
      <c r="K27" s="65" t="str">
        <f>IFERROR(VLOOKUP(C27,'00_Kontenrahmen'!$A$3:$H$200,5,FALSE()),"")</f>
        <v>GuV: Umsatzerlöse</v>
      </c>
      <c r="L27" s="59" t="s">
        <v>165</v>
      </c>
      <c r="M27" s="66" t="s">
        <v>166</v>
      </c>
      <c r="N27" s="23" t="s">
        <v>167</v>
      </c>
    </row>
    <row r="28" spans="1:14" ht="18" customHeight="1" x14ac:dyDescent="0.2">
      <c r="A28" s="67" t="s">
        <v>177</v>
      </c>
      <c r="B28" s="68" t="s">
        <v>178</v>
      </c>
      <c r="C28" s="69">
        <v>3000</v>
      </c>
      <c r="D28" s="69">
        <v>5000</v>
      </c>
      <c r="E28" s="68" t="s">
        <v>168</v>
      </c>
      <c r="F28" s="38" t="str">
        <f>IFERROR(VLOOKUP(C28,'00_Kontenrahmen'!$A$3:$H$200,4,FALSE()),"⚠ Nicht gefunden")</f>
        <v>Wareneinsatz</v>
      </c>
      <c r="G28" s="70">
        <v>61200</v>
      </c>
      <c r="H28" s="71"/>
      <c r="I28" s="72">
        <v>-61200</v>
      </c>
      <c r="J28" s="73">
        <v>61200</v>
      </c>
      <c r="K28" s="65" t="str">
        <f>IFERROR(VLOOKUP(C28,'00_Kontenrahmen'!$A$3:$H$200,5,FALSE()),"")</f>
        <v>GuV: Materialaufwand</v>
      </c>
      <c r="L28" s="68" t="s">
        <v>169</v>
      </c>
      <c r="M28" s="74" t="s">
        <v>166</v>
      </c>
      <c r="N28" s="23" t="s">
        <v>167</v>
      </c>
    </row>
    <row r="29" spans="1:14" ht="18" customHeight="1" x14ac:dyDescent="0.2">
      <c r="A29" s="67" t="s">
        <v>177</v>
      </c>
      <c r="B29" s="68" t="s">
        <v>178</v>
      </c>
      <c r="C29" s="69">
        <v>4100</v>
      </c>
      <c r="D29" s="69">
        <v>6000</v>
      </c>
      <c r="E29" s="68" t="s">
        <v>42</v>
      </c>
      <c r="F29" s="38" t="str">
        <f>IFERROR(VLOOKUP(C29,'00_Kontenrahmen'!$A$3:$H$200,4,FALSE()),"⚠ Nicht gefunden")</f>
        <v>Personal</v>
      </c>
      <c r="G29" s="70">
        <v>28000</v>
      </c>
      <c r="H29" s="71"/>
      <c r="I29" s="72">
        <v>-28000</v>
      </c>
      <c r="J29" s="73">
        <v>28000</v>
      </c>
      <c r="K29" s="65" t="str">
        <f>IFERROR(VLOOKUP(C29,'00_Kontenrahmen'!$A$3:$H$200,5,FALSE()),"")</f>
        <v>GuV: Personalaufwand</v>
      </c>
      <c r="L29" s="68" t="s">
        <v>43</v>
      </c>
      <c r="M29" s="74" t="s">
        <v>166</v>
      </c>
      <c r="N29" s="23" t="s">
        <v>167</v>
      </c>
    </row>
    <row r="30" spans="1:14" ht="15" customHeight="1" x14ac:dyDescent="0.2">
      <c r="A30" t="s">
        <v>179</v>
      </c>
      <c r="B30" t="s">
        <v>163</v>
      </c>
      <c r="C30">
        <v>8000</v>
      </c>
      <c r="D30">
        <v>4000</v>
      </c>
      <c r="E30" t="s">
        <v>164</v>
      </c>
      <c r="F30" t="s">
        <v>11</v>
      </c>
      <c r="H30">
        <v>100100</v>
      </c>
      <c r="I30">
        <v>100100</v>
      </c>
      <c r="J30">
        <v>100100</v>
      </c>
      <c r="K30" t="s">
        <v>12</v>
      </c>
      <c r="L30" t="s">
        <v>165</v>
      </c>
      <c r="M30" t="s">
        <v>166</v>
      </c>
      <c r="N30" t="s">
        <v>167</v>
      </c>
    </row>
    <row r="31" spans="1:14" ht="15" customHeight="1" x14ac:dyDescent="0.2">
      <c r="A31" t="s">
        <v>179</v>
      </c>
      <c r="B31" t="s">
        <v>163</v>
      </c>
      <c r="C31">
        <v>3000</v>
      </c>
      <c r="D31">
        <v>5000</v>
      </c>
      <c r="E31" t="s">
        <v>168</v>
      </c>
      <c r="F31" t="s">
        <v>31</v>
      </c>
      <c r="G31">
        <v>33500</v>
      </c>
      <c r="I31">
        <v>-33500</v>
      </c>
      <c r="J31">
        <v>33500</v>
      </c>
      <c r="K31" t="s">
        <v>32</v>
      </c>
      <c r="L31" t="s">
        <v>169</v>
      </c>
      <c r="M31" t="s">
        <v>166</v>
      </c>
      <c r="N31" t="s">
        <v>167</v>
      </c>
    </row>
    <row r="32" spans="1:14" ht="15" customHeight="1" x14ac:dyDescent="0.2">
      <c r="A32" t="s">
        <v>179</v>
      </c>
      <c r="B32" t="s">
        <v>163</v>
      </c>
      <c r="C32">
        <v>4100</v>
      </c>
      <c r="D32">
        <v>6000</v>
      </c>
      <c r="E32" t="s">
        <v>42</v>
      </c>
      <c r="F32" t="s">
        <v>43</v>
      </c>
      <c r="G32">
        <v>22500</v>
      </c>
      <c r="I32">
        <v>-22500</v>
      </c>
      <c r="J32">
        <v>22500</v>
      </c>
      <c r="K32" t="s">
        <v>44</v>
      </c>
      <c r="L32" t="s">
        <v>43</v>
      </c>
      <c r="M32" t="s">
        <v>166</v>
      </c>
      <c r="N32" t="s">
        <v>167</v>
      </c>
    </row>
    <row r="33" spans="1:14" ht="15" customHeight="1" x14ac:dyDescent="0.2">
      <c r="A33" t="s">
        <v>179</v>
      </c>
      <c r="B33" t="s">
        <v>163</v>
      </c>
      <c r="C33">
        <v>4210</v>
      </c>
      <c r="D33">
        <v>6300</v>
      </c>
      <c r="E33" t="s">
        <v>53</v>
      </c>
      <c r="F33" t="s">
        <v>54</v>
      </c>
      <c r="G33">
        <v>4250</v>
      </c>
      <c r="I33">
        <v>-4250</v>
      </c>
      <c r="J33">
        <v>4250</v>
      </c>
      <c r="K33" t="s">
        <v>55</v>
      </c>
      <c r="L33" t="s">
        <v>172</v>
      </c>
      <c r="M33" t="s">
        <v>166</v>
      </c>
      <c r="N33" t="s">
        <v>167</v>
      </c>
    </row>
    <row r="34" spans="1:14" ht="15" customHeight="1" x14ac:dyDescent="0.2">
      <c r="A34" t="s">
        <v>179</v>
      </c>
      <c r="B34" t="s">
        <v>163</v>
      </c>
      <c r="C34">
        <v>4830</v>
      </c>
      <c r="D34">
        <v>6830</v>
      </c>
      <c r="E34" t="s">
        <v>170</v>
      </c>
      <c r="F34" t="s">
        <v>70</v>
      </c>
      <c r="G34">
        <v>9500</v>
      </c>
      <c r="I34">
        <v>-9500</v>
      </c>
      <c r="J34">
        <v>9500</v>
      </c>
      <c r="K34" t="s">
        <v>55</v>
      </c>
      <c r="L34" t="s">
        <v>171</v>
      </c>
      <c r="M34" t="s">
        <v>166</v>
      </c>
      <c r="N34" t="s">
        <v>167</v>
      </c>
    </row>
    <row r="35" spans="1:14" ht="15" customHeight="1" x14ac:dyDescent="0.2">
      <c r="A35" t="s">
        <v>179</v>
      </c>
      <c r="B35" t="s">
        <v>163</v>
      </c>
      <c r="C35">
        <v>4600</v>
      </c>
      <c r="D35">
        <v>6600</v>
      </c>
      <c r="E35" t="s">
        <v>62</v>
      </c>
      <c r="F35" t="s">
        <v>63</v>
      </c>
      <c r="G35">
        <v>3100</v>
      </c>
      <c r="I35">
        <v>-3100</v>
      </c>
      <c r="J35">
        <v>3100</v>
      </c>
      <c r="K35" t="s">
        <v>55</v>
      </c>
      <c r="L35" t="s">
        <v>63</v>
      </c>
      <c r="M35" t="s">
        <v>166</v>
      </c>
      <c r="N35" t="s">
        <v>167</v>
      </c>
    </row>
    <row r="36" spans="1:14" ht="15" customHeight="1" x14ac:dyDescent="0.2">
      <c r="A36" t="s">
        <v>179</v>
      </c>
      <c r="B36" t="s">
        <v>163</v>
      </c>
      <c r="C36">
        <v>4900</v>
      </c>
      <c r="D36">
        <v>6980</v>
      </c>
      <c r="E36" t="s">
        <v>82</v>
      </c>
      <c r="F36" t="s">
        <v>83</v>
      </c>
      <c r="G36">
        <v>6080</v>
      </c>
      <c r="I36">
        <v>-6080</v>
      </c>
      <c r="J36">
        <v>6080</v>
      </c>
      <c r="K36" t="s">
        <v>55</v>
      </c>
      <c r="L36" t="s">
        <v>172</v>
      </c>
      <c r="M36" t="s">
        <v>166</v>
      </c>
      <c r="N36" t="s">
        <v>167</v>
      </c>
    </row>
    <row r="37" spans="1:14" ht="15" customHeight="1" x14ac:dyDescent="0.2">
      <c r="A37" t="s">
        <v>180</v>
      </c>
      <c r="B37" t="s">
        <v>163</v>
      </c>
      <c r="C37">
        <v>8000</v>
      </c>
      <c r="D37">
        <v>4000</v>
      </c>
      <c r="E37" t="s">
        <v>164</v>
      </c>
      <c r="F37" t="s">
        <v>11</v>
      </c>
      <c r="H37">
        <v>93780</v>
      </c>
      <c r="I37">
        <v>93780</v>
      </c>
      <c r="J37">
        <v>93780</v>
      </c>
      <c r="K37" t="s">
        <v>12</v>
      </c>
      <c r="L37" t="s">
        <v>165</v>
      </c>
      <c r="M37" t="s">
        <v>166</v>
      </c>
      <c r="N37" t="s">
        <v>167</v>
      </c>
    </row>
    <row r="38" spans="1:14" ht="15" customHeight="1" x14ac:dyDescent="0.2">
      <c r="A38" t="s">
        <v>180</v>
      </c>
      <c r="B38" t="s">
        <v>163</v>
      </c>
      <c r="C38">
        <v>3000</v>
      </c>
      <c r="D38">
        <v>5000</v>
      </c>
      <c r="E38" t="s">
        <v>168</v>
      </c>
      <c r="F38" t="s">
        <v>31</v>
      </c>
      <c r="G38">
        <v>32000</v>
      </c>
      <c r="I38">
        <v>-32000</v>
      </c>
      <c r="J38">
        <v>32000</v>
      </c>
      <c r="K38" t="s">
        <v>32</v>
      </c>
      <c r="L38" t="s">
        <v>169</v>
      </c>
      <c r="M38" t="s">
        <v>166</v>
      </c>
      <c r="N38" t="s">
        <v>167</v>
      </c>
    </row>
    <row r="39" spans="1:14" ht="15" customHeight="1" x14ac:dyDescent="0.2">
      <c r="A39" t="s">
        <v>180</v>
      </c>
      <c r="B39" t="s">
        <v>163</v>
      </c>
      <c r="C39">
        <v>4100</v>
      </c>
      <c r="D39">
        <v>6000</v>
      </c>
      <c r="E39" t="s">
        <v>42</v>
      </c>
      <c r="F39" t="s">
        <v>43</v>
      </c>
      <c r="G39">
        <v>22000</v>
      </c>
      <c r="I39">
        <v>-22000</v>
      </c>
      <c r="J39">
        <v>22000</v>
      </c>
      <c r="K39" t="s">
        <v>44</v>
      </c>
      <c r="L39" t="s">
        <v>43</v>
      </c>
      <c r="M39" t="s">
        <v>166</v>
      </c>
      <c r="N39" t="s">
        <v>167</v>
      </c>
    </row>
    <row r="40" spans="1:14" ht="15" customHeight="1" x14ac:dyDescent="0.2">
      <c r="A40" t="s">
        <v>180</v>
      </c>
      <c r="B40" t="s">
        <v>163</v>
      </c>
      <c r="C40">
        <v>4210</v>
      </c>
      <c r="D40">
        <v>6300</v>
      </c>
      <c r="E40" t="s">
        <v>53</v>
      </c>
      <c r="F40" t="s">
        <v>54</v>
      </c>
      <c r="G40">
        <v>4300</v>
      </c>
      <c r="I40">
        <v>-4300</v>
      </c>
      <c r="J40">
        <v>4300</v>
      </c>
      <c r="K40" t="s">
        <v>55</v>
      </c>
      <c r="L40" t="s">
        <v>172</v>
      </c>
      <c r="M40" t="s">
        <v>166</v>
      </c>
      <c r="N40" t="s">
        <v>167</v>
      </c>
    </row>
    <row r="41" spans="1:14" ht="15" customHeight="1" x14ac:dyDescent="0.2">
      <c r="A41" t="s">
        <v>180</v>
      </c>
      <c r="B41" t="s">
        <v>163</v>
      </c>
      <c r="C41">
        <v>4830</v>
      </c>
      <c r="D41">
        <v>6830</v>
      </c>
      <c r="E41" t="s">
        <v>170</v>
      </c>
      <c r="F41" t="s">
        <v>70</v>
      </c>
      <c r="G41">
        <v>9800</v>
      </c>
      <c r="I41">
        <v>-9800</v>
      </c>
      <c r="J41">
        <v>9800</v>
      </c>
      <c r="K41" t="s">
        <v>55</v>
      </c>
      <c r="L41" t="s">
        <v>171</v>
      </c>
      <c r="M41" t="s">
        <v>166</v>
      </c>
      <c r="N41" t="s">
        <v>167</v>
      </c>
    </row>
    <row r="42" spans="1:14" ht="15" customHeight="1" x14ac:dyDescent="0.2">
      <c r="A42" t="s">
        <v>180</v>
      </c>
      <c r="B42" t="s">
        <v>163</v>
      </c>
      <c r="C42">
        <v>4600</v>
      </c>
      <c r="D42">
        <v>6600</v>
      </c>
      <c r="E42" t="s">
        <v>62</v>
      </c>
      <c r="F42" t="s">
        <v>63</v>
      </c>
      <c r="G42">
        <v>3300</v>
      </c>
      <c r="I42">
        <v>-3300</v>
      </c>
      <c r="J42">
        <v>3300</v>
      </c>
      <c r="K42" t="s">
        <v>55</v>
      </c>
      <c r="L42" t="s">
        <v>63</v>
      </c>
      <c r="M42" t="s">
        <v>166</v>
      </c>
      <c r="N42" t="s">
        <v>167</v>
      </c>
    </row>
    <row r="43" spans="1:14" ht="15" customHeight="1" x14ac:dyDescent="0.2">
      <c r="A43" t="s">
        <v>180</v>
      </c>
      <c r="B43" t="s">
        <v>163</v>
      </c>
      <c r="C43">
        <v>4900</v>
      </c>
      <c r="D43">
        <v>6980</v>
      </c>
      <c r="E43" t="s">
        <v>82</v>
      </c>
      <c r="F43" t="s">
        <v>83</v>
      </c>
      <c r="G43">
        <v>1032</v>
      </c>
      <c r="I43">
        <v>-1032</v>
      </c>
      <c r="J43">
        <v>1032</v>
      </c>
      <c r="K43" t="s">
        <v>55</v>
      </c>
      <c r="L43" t="s">
        <v>172</v>
      </c>
      <c r="M43" t="s">
        <v>166</v>
      </c>
      <c r="N43" t="s">
        <v>167</v>
      </c>
    </row>
    <row r="44" spans="1:14" ht="15" customHeight="1" x14ac:dyDescent="0.2">
      <c r="A44" t="s">
        <v>181</v>
      </c>
      <c r="B44" t="s">
        <v>163</v>
      </c>
      <c r="C44">
        <v>8000</v>
      </c>
      <c r="D44">
        <v>4000</v>
      </c>
      <c r="E44" t="s">
        <v>164</v>
      </c>
      <c r="F44" t="s">
        <v>11</v>
      </c>
      <c r="H44">
        <v>100300</v>
      </c>
      <c r="I44">
        <v>100300</v>
      </c>
      <c r="J44">
        <v>100300</v>
      </c>
      <c r="K44" t="s">
        <v>12</v>
      </c>
      <c r="L44" t="s">
        <v>165</v>
      </c>
      <c r="M44" t="s">
        <v>166</v>
      </c>
      <c r="N44" t="s">
        <v>167</v>
      </c>
    </row>
    <row r="45" spans="1:14" ht="15" customHeight="1" x14ac:dyDescent="0.2">
      <c r="A45" t="s">
        <v>181</v>
      </c>
      <c r="B45" t="s">
        <v>163</v>
      </c>
      <c r="C45">
        <v>3000</v>
      </c>
      <c r="D45">
        <v>5000</v>
      </c>
      <c r="E45" t="s">
        <v>168</v>
      </c>
      <c r="F45" t="s">
        <v>31</v>
      </c>
      <c r="G45">
        <v>34000</v>
      </c>
      <c r="I45">
        <v>-34000</v>
      </c>
      <c r="J45">
        <v>34000</v>
      </c>
      <c r="K45" t="s">
        <v>32</v>
      </c>
      <c r="L45" t="s">
        <v>169</v>
      </c>
      <c r="M45" t="s">
        <v>166</v>
      </c>
      <c r="N45" t="s">
        <v>167</v>
      </c>
    </row>
    <row r="46" spans="1:14" ht="15" customHeight="1" x14ac:dyDescent="0.2">
      <c r="A46" t="s">
        <v>181</v>
      </c>
      <c r="B46" t="s">
        <v>163</v>
      </c>
      <c r="C46">
        <v>4100</v>
      </c>
      <c r="D46">
        <v>6000</v>
      </c>
      <c r="E46" t="s">
        <v>42</v>
      </c>
      <c r="F46" t="s">
        <v>43</v>
      </c>
      <c r="G46">
        <v>22500</v>
      </c>
      <c r="I46">
        <v>-22500</v>
      </c>
      <c r="J46">
        <v>22500</v>
      </c>
      <c r="K46" t="s">
        <v>44</v>
      </c>
      <c r="L46" t="s">
        <v>43</v>
      </c>
      <c r="M46" t="s">
        <v>166</v>
      </c>
      <c r="N46" t="s">
        <v>167</v>
      </c>
    </row>
    <row r="47" spans="1:14" ht="15" customHeight="1" x14ac:dyDescent="0.2">
      <c r="A47" t="s">
        <v>181</v>
      </c>
      <c r="B47" t="s">
        <v>163</v>
      </c>
      <c r="C47">
        <v>4210</v>
      </c>
      <c r="D47">
        <v>6300</v>
      </c>
      <c r="E47" t="s">
        <v>53</v>
      </c>
      <c r="F47" t="s">
        <v>54</v>
      </c>
      <c r="G47">
        <v>4300</v>
      </c>
      <c r="I47">
        <v>-4300</v>
      </c>
      <c r="J47">
        <v>4300</v>
      </c>
      <c r="K47" t="s">
        <v>55</v>
      </c>
      <c r="L47" t="s">
        <v>172</v>
      </c>
      <c r="M47" t="s">
        <v>166</v>
      </c>
      <c r="N47" t="s">
        <v>167</v>
      </c>
    </row>
    <row r="48" spans="1:14" ht="15" customHeight="1" x14ac:dyDescent="0.2">
      <c r="A48" t="s">
        <v>181</v>
      </c>
      <c r="B48" t="s">
        <v>163</v>
      </c>
      <c r="C48">
        <v>4830</v>
      </c>
      <c r="D48">
        <v>6830</v>
      </c>
      <c r="E48" t="s">
        <v>170</v>
      </c>
      <c r="F48" t="s">
        <v>70</v>
      </c>
      <c r="G48">
        <v>10000</v>
      </c>
      <c r="I48">
        <v>-10000</v>
      </c>
      <c r="J48">
        <v>10000</v>
      </c>
      <c r="K48" t="s">
        <v>55</v>
      </c>
      <c r="L48" t="s">
        <v>171</v>
      </c>
      <c r="M48" t="s">
        <v>166</v>
      </c>
      <c r="N48" t="s">
        <v>167</v>
      </c>
    </row>
    <row r="49" spans="1:14" ht="15" customHeight="1" x14ac:dyDescent="0.2">
      <c r="A49" t="s">
        <v>181</v>
      </c>
      <c r="B49" t="s">
        <v>163</v>
      </c>
      <c r="C49">
        <v>4600</v>
      </c>
      <c r="D49">
        <v>6600</v>
      </c>
      <c r="E49" t="s">
        <v>62</v>
      </c>
      <c r="F49" t="s">
        <v>63</v>
      </c>
      <c r="G49">
        <v>3500</v>
      </c>
      <c r="I49">
        <v>-3500</v>
      </c>
      <c r="J49">
        <v>3500</v>
      </c>
      <c r="K49" t="s">
        <v>55</v>
      </c>
      <c r="L49" t="s">
        <v>63</v>
      </c>
      <c r="M49" t="s">
        <v>166</v>
      </c>
      <c r="N49" t="s">
        <v>167</v>
      </c>
    </row>
    <row r="50" spans="1:14" ht="15" customHeight="1" x14ac:dyDescent="0.2">
      <c r="A50" t="s">
        <v>181</v>
      </c>
      <c r="B50" t="s">
        <v>163</v>
      </c>
      <c r="C50">
        <v>4900</v>
      </c>
      <c r="D50">
        <v>6980</v>
      </c>
      <c r="E50" t="s">
        <v>82</v>
      </c>
      <c r="F50" t="s">
        <v>83</v>
      </c>
      <c r="G50">
        <v>4608</v>
      </c>
      <c r="I50">
        <v>-4608</v>
      </c>
      <c r="J50">
        <v>4608</v>
      </c>
      <c r="K50" t="s">
        <v>55</v>
      </c>
      <c r="L50" t="s">
        <v>172</v>
      </c>
      <c r="M50" t="s">
        <v>166</v>
      </c>
      <c r="N50" t="s">
        <v>167</v>
      </c>
    </row>
    <row r="51" spans="1:14" ht="15" customHeight="1" x14ac:dyDescent="0.2">
      <c r="A51" t="s">
        <v>182</v>
      </c>
      <c r="B51" t="s">
        <v>163</v>
      </c>
      <c r="C51">
        <v>8000</v>
      </c>
      <c r="D51">
        <v>4000</v>
      </c>
      <c r="E51" t="s">
        <v>164</v>
      </c>
      <c r="F51" t="s">
        <v>11</v>
      </c>
      <c r="H51">
        <v>103600</v>
      </c>
      <c r="I51">
        <v>103600</v>
      </c>
      <c r="J51">
        <v>103600</v>
      </c>
      <c r="K51" t="s">
        <v>12</v>
      </c>
      <c r="L51" t="s">
        <v>165</v>
      </c>
      <c r="M51" t="s">
        <v>166</v>
      </c>
      <c r="N51" t="s">
        <v>167</v>
      </c>
    </row>
    <row r="52" spans="1:14" ht="15" customHeight="1" x14ac:dyDescent="0.2">
      <c r="A52" t="s">
        <v>182</v>
      </c>
      <c r="B52" t="s">
        <v>163</v>
      </c>
      <c r="C52">
        <v>3000</v>
      </c>
      <c r="D52">
        <v>5000</v>
      </c>
      <c r="E52" t="s">
        <v>168</v>
      </c>
      <c r="F52" t="s">
        <v>31</v>
      </c>
      <c r="G52">
        <v>35000</v>
      </c>
      <c r="I52">
        <v>-35000</v>
      </c>
      <c r="J52">
        <v>35000</v>
      </c>
      <c r="K52" t="s">
        <v>32</v>
      </c>
      <c r="L52" t="s">
        <v>169</v>
      </c>
      <c r="M52" t="s">
        <v>166</v>
      </c>
      <c r="N52" t="s">
        <v>167</v>
      </c>
    </row>
    <row r="53" spans="1:14" ht="15" customHeight="1" x14ac:dyDescent="0.2">
      <c r="A53" t="s">
        <v>182</v>
      </c>
      <c r="B53" t="s">
        <v>163</v>
      </c>
      <c r="C53">
        <v>4100</v>
      </c>
      <c r="D53">
        <v>6000</v>
      </c>
      <c r="E53" t="s">
        <v>42</v>
      </c>
      <c r="F53" t="s">
        <v>43</v>
      </c>
      <c r="G53">
        <v>23000</v>
      </c>
      <c r="I53">
        <v>-23000</v>
      </c>
      <c r="J53">
        <v>23000</v>
      </c>
      <c r="K53" t="s">
        <v>44</v>
      </c>
      <c r="L53" t="s">
        <v>43</v>
      </c>
      <c r="M53" t="s">
        <v>166</v>
      </c>
      <c r="N53" t="s">
        <v>167</v>
      </c>
    </row>
    <row r="54" spans="1:14" ht="15" customHeight="1" x14ac:dyDescent="0.2">
      <c r="A54" t="s">
        <v>182</v>
      </c>
      <c r="B54" t="s">
        <v>163</v>
      </c>
      <c r="C54">
        <v>4210</v>
      </c>
      <c r="D54">
        <v>6300</v>
      </c>
      <c r="E54" t="s">
        <v>53</v>
      </c>
      <c r="F54" t="s">
        <v>54</v>
      </c>
      <c r="G54">
        <v>4400</v>
      </c>
      <c r="I54">
        <v>-4400</v>
      </c>
      <c r="J54">
        <v>4400</v>
      </c>
      <c r="K54" t="s">
        <v>55</v>
      </c>
      <c r="L54" t="s">
        <v>172</v>
      </c>
      <c r="M54" t="s">
        <v>166</v>
      </c>
      <c r="N54" t="s">
        <v>167</v>
      </c>
    </row>
    <row r="55" spans="1:14" ht="15" customHeight="1" x14ac:dyDescent="0.2">
      <c r="A55" t="s">
        <v>182</v>
      </c>
      <c r="B55" t="s">
        <v>163</v>
      </c>
      <c r="C55">
        <v>4830</v>
      </c>
      <c r="D55">
        <v>6830</v>
      </c>
      <c r="E55" t="s">
        <v>170</v>
      </c>
      <c r="F55" t="s">
        <v>70</v>
      </c>
      <c r="G55">
        <v>10300</v>
      </c>
      <c r="I55">
        <v>-10300</v>
      </c>
      <c r="J55">
        <v>10300</v>
      </c>
      <c r="K55" t="s">
        <v>55</v>
      </c>
      <c r="L55" t="s">
        <v>171</v>
      </c>
      <c r="M55" t="s">
        <v>166</v>
      </c>
      <c r="N55" t="s">
        <v>167</v>
      </c>
    </row>
    <row r="56" spans="1:14" ht="15" customHeight="1" x14ac:dyDescent="0.2">
      <c r="A56" t="s">
        <v>182</v>
      </c>
      <c r="B56" t="s">
        <v>163</v>
      </c>
      <c r="C56">
        <v>4600</v>
      </c>
      <c r="D56">
        <v>6600</v>
      </c>
      <c r="E56" t="s">
        <v>62</v>
      </c>
      <c r="F56" t="s">
        <v>63</v>
      </c>
      <c r="G56">
        <v>3600</v>
      </c>
      <c r="I56">
        <v>-3600</v>
      </c>
      <c r="J56">
        <v>3600</v>
      </c>
      <c r="K56" t="s">
        <v>55</v>
      </c>
      <c r="L56" t="s">
        <v>63</v>
      </c>
      <c r="M56" t="s">
        <v>166</v>
      </c>
      <c r="N56" t="s">
        <v>167</v>
      </c>
    </row>
    <row r="57" spans="1:14" ht="15" customHeight="1" x14ac:dyDescent="0.2">
      <c r="A57" t="s">
        <v>182</v>
      </c>
      <c r="B57" t="s">
        <v>163</v>
      </c>
      <c r="C57">
        <v>4900</v>
      </c>
      <c r="D57">
        <v>6980</v>
      </c>
      <c r="E57" t="s">
        <v>82</v>
      </c>
      <c r="F57" t="s">
        <v>83</v>
      </c>
      <c r="G57">
        <v>5565</v>
      </c>
      <c r="I57">
        <v>-5565</v>
      </c>
      <c r="J57">
        <v>5565</v>
      </c>
      <c r="K57" t="s">
        <v>55</v>
      </c>
      <c r="L57" t="s">
        <v>172</v>
      </c>
      <c r="M57" t="s">
        <v>166</v>
      </c>
      <c r="N57" t="s">
        <v>167</v>
      </c>
    </row>
    <row r="58" spans="1:14" ht="15" customHeight="1" x14ac:dyDescent="0.2">
      <c r="A58" t="s">
        <v>183</v>
      </c>
      <c r="B58" t="s">
        <v>163</v>
      </c>
      <c r="C58">
        <v>8000</v>
      </c>
      <c r="D58">
        <v>4000</v>
      </c>
      <c r="E58" t="s">
        <v>164</v>
      </c>
      <c r="F58" t="s">
        <v>11</v>
      </c>
      <c r="H58">
        <v>101190</v>
      </c>
      <c r="I58">
        <v>101190</v>
      </c>
      <c r="J58">
        <v>101190</v>
      </c>
      <c r="K58" t="s">
        <v>12</v>
      </c>
      <c r="L58" t="s">
        <v>165</v>
      </c>
      <c r="M58" t="s">
        <v>166</v>
      </c>
      <c r="N58" t="s">
        <v>167</v>
      </c>
    </row>
    <row r="59" spans="1:14" ht="15" customHeight="1" x14ac:dyDescent="0.2">
      <c r="A59" t="s">
        <v>183</v>
      </c>
      <c r="B59" t="s">
        <v>163</v>
      </c>
      <c r="C59">
        <v>3000</v>
      </c>
      <c r="D59">
        <v>5000</v>
      </c>
      <c r="E59" t="s">
        <v>168</v>
      </c>
      <c r="F59" t="s">
        <v>31</v>
      </c>
      <c r="G59">
        <v>34500</v>
      </c>
      <c r="I59">
        <v>-34500</v>
      </c>
      <c r="J59">
        <v>34500</v>
      </c>
      <c r="K59" t="s">
        <v>32</v>
      </c>
      <c r="L59" t="s">
        <v>169</v>
      </c>
      <c r="M59" t="s">
        <v>166</v>
      </c>
      <c r="N59" t="s">
        <v>167</v>
      </c>
    </row>
    <row r="60" spans="1:14" ht="15" customHeight="1" x14ac:dyDescent="0.2">
      <c r="A60" t="s">
        <v>183</v>
      </c>
      <c r="B60" t="s">
        <v>163</v>
      </c>
      <c r="C60">
        <v>4100</v>
      </c>
      <c r="D60">
        <v>6000</v>
      </c>
      <c r="E60" t="s">
        <v>42</v>
      </c>
      <c r="F60" t="s">
        <v>43</v>
      </c>
      <c r="G60">
        <v>22500</v>
      </c>
      <c r="I60">
        <v>-22500</v>
      </c>
      <c r="J60">
        <v>22500</v>
      </c>
      <c r="K60" t="s">
        <v>44</v>
      </c>
      <c r="L60" t="s">
        <v>43</v>
      </c>
      <c r="M60" t="s">
        <v>166</v>
      </c>
      <c r="N60" t="s">
        <v>167</v>
      </c>
    </row>
    <row r="61" spans="1:14" ht="15" customHeight="1" x14ac:dyDescent="0.2">
      <c r="A61" t="s">
        <v>183</v>
      </c>
      <c r="B61" t="s">
        <v>163</v>
      </c>
      <c r="C61">
        <v>4210</v>
      </c>
      <c r="D61">
        <v>6300</v>
      </c>
      <c r="E61" t="s">
        <v>53</v>
      </c>
      <c r="F61" t="s">
        <v>54</v>
      </c>
      <c r="G61">
        <v>4400</v>
      </c>
      <c r="I61">
        <v>-4400</v>
      </c>
      <c r="J61">
        <v>4400</v>
      </c>
      <c r="K61" t="s">
        <v>55</v>
      </c>
      <c r="L61" t="s">
        <v>172</v>
      </c>
      <c r="M61" t="s">
        <v>166</v>
      </c>
      <c r="N61" t="s">
        <v>167</v>
      </c>
    </row>
    <row r="62" spans="1:14" ht="15" customHeight="1" x14ac:dyDescent="0.2">
      <c r="A62" t="s">
        <v>183</v>
      </c>
      <c r="B62" t="s">
        <v>163</v>
      </c>
      <c r="C62">
        <v>4830</v>
      </c>
      <c r="D62">
        <v>6830</v>
      </c>
      <c r="E62" t="s">
        <v>170</v>
      </c>
      <c r="F62" t="s">
        <v>70</v>
      </c>
      <c r="G62">
        <v>10600</v>
      </c>
      <c r="I62">
        <v>-10600</v>
      </c>
      <c r="J62">
        <v>10600</v>
      </c>
      <c r="K62" t="s">
        <v>55</v>
      </c>
      <c r="L62" t="s">
        <v>171</v>
      </c>
      <c r="M62" t="s">
        <v>166</v>
      </c>
      <c r="N62" t="s">
        <v>167</v>
      </c>
    </row>
    <row r="63" spans="1:14" ht="15" customHeight="1" x14ac:dyDescent="0.2">
      <c r="A63" t="s">
        <v>183</v>
      </c>
      <c r="B63" t="s">
        <v>163</v>
      </c>
      <c r="C63">
        <v>4600</v>
      </c>
      <c r="D63">
        <v>6600</v>
      </c>
      <c r="E63" t="s">
        <v>62</v>
      </c>
      <c r="F63" t="s">
        <v>63</v>
      </c>
      <c r="G63">
        <v>3800</v>
      </c>
      <c r="I63">
        <v>-3800</v>
      </c>
      <c r="J63">
        <v>3800</v>
      </c>
      <c r="K63" t="s">
        <v>55</v>
      </c>
      <c r="L63" t="s">
        <v>63</v>
      </c>
      <c r="M63" t="s">
        <v>166</v>
      </c>
      <c r="N63" t="s">
        <v>167</v>
      </c>
    </row>
    <row r="64" spans="1:14" ht="15" customHeight="1" x14ac:dyDescent="0.2">
      <c r="A64" t="s">
        <v>183</v>
      </c>
      <c r="B64" t="s">
        <v>163</v>
      </c>
      <c r="C64">
        <v>4900</v>
      </c>
      <c r="D64">
        <v>6980</v>
      </c>
      <c r="E64" t="s">
        <v>82</v>
      </c>
      <c r="F64" t="s">
        <v>83</v>
      </c>
      <c r="G64">
        <v>4227</v>
      </c>
      <c r="I64">
        <v>-4227</v>
      </c>
      <c r="J64">
        <v>4227</v>
      </c>
      <c r="K64" t="s">
        <v>55</v>
      </c>
      <c r="L64" t="s">
        <v>172</v>
      </c>
      <c r="M64" t="s">
        <v>166</v>
      </c>
      <c r="N64" t="s">
        <v>167</v>
      </c>
    </row>
    <row r="65" spans="1:14" ht="15" customHeight="1" x14ac:dyDescent="0.2">
      <c r="A65" t="s">
        <v>184</v>
      </c>
      <c r="B65" t="s">
        <v>163</v>
      </c>
      <c r="C65">
        <v>8000</v>
      </c>
      <c r="D65">
        <v>4000</v>
      </c>
      <c r="E65" t="s">
        <v>164</v>
      </c>
      <c r="F65" t="s">
        <v>11</v>
      </c>
      <c r="H65">
        <v>104570</v>
      </c>
      <c r="I65">
        <v>104570</v>
      </c>
      <c r="J65">
        <v>104570</v>
      </c>
      <c r="K65" t="s">
        <v>12</v>
      </c>
      <c r="L65" t="s">
        <v>165</v>
      </c>
      <c r="M65" t="s">
        <v>166</v>
      </c>
      <c r="N65" t="s">
        <v>167</v>
      </c>
    </row>
    <row r="66" spans="1:14" ht="15" customHeight="1" x14ac:dyDescent="0.2">
      <c r="A66" t="s">
        <v>184</v>
      </c>
      <c r="B66" t="s">
        <v>163</v>
      </c>
      <c r="C66">
        <v>3000</v>
      </c>
      <c r="D66">
        <v>5000</v>
      </c>
      <c r="E66" t="s">
        <v>168</v>
      </c>
      <c r="F66" t="s">
        <v>31</v>
      </c>
      <c r="G66">
        <v>35500</v>
      </c>
      <c r="I66">
        <v>-35500</v>
      </c>
      <c r="J66">
        <v>35500</v>
      </c>
      <c r="K66" t="s">
        <v>32</v>
      </c>
      <c r="L66" t="s">
        <v>169</v>
      </c>
      <c r="M66" t="s">
        <v>166</v>
      </c>
      <c r="N66" t="s">
        <v>167</v>
      </c>
    </row>
    <row r="67" spans="1:14" ht="15" customHeight="1" x14ac:dyDescent="0.2">
      <c r="A67" t="s">
        <v>184</v>
      </c>
      <c r="B67" t="s">
        <v>163</v>
      </c>
      <c r="C67">
        <v>4100</v>
      </c>
      <c r="D67">
        <v>6000</v>
      </c>
      <c r="E67" t="s">
        <v>42</v>
      </c>
      <c r="F67" t="s">
        <v>43</v>
      </c>
      <c r="G67">
        <v>23000</v>
      </c>
      <c r="I67">
        <v>-23000</v>
      </c>
      <c r="J67">
        <v>23000</v>
      </c>
      <c r="K67" t="s">
        <v>44</v>
      </c>
      <c r="L67" t="s">
        <v>43</v>
      </c>
      <c r="M67" t="s">
        <v>166</v>
      </c>
      <c r="N67" t="s">
        <v>167</v>
      </c>
    </row>
    <row r="68" spans="1:14" ht="15" customHeight="1" x14ac:dyDescent="0.2">
      <c r="A68" t="s">
        <v>184</v>
      </c>
      <c r="B68" t="s">
        <v>163</v>
      </c>
      <c r="C68">
        <v>4210</v>
      </c>
      <c r="D68">
        <v>6300</v>
      </c>
      <c r="E68" t="s">
        <v>53</v>
      </c>
      <c r="F68" t="s">
        <v>54</v>
      </c>
      <c r="G68">
        <v>4500</v>
      </c>
      <c r="I68">
        <v>-4500</v>
      </c>
      <c r="J68">
        <v>4500</v>
      </c>
      <c r="K68" t="s">
        <v>55</v>
      </c>
      <c r="L68" t="s">
        <v>172</v>
      </c>
      <c r="M68" t="s">
        <v>166</v>
      </c>
      <c r="N68" t="s">
        <v>167</v>
      </c>
    </row>
    <row r="69" spans="1:14" ht="15" customHeight="1" x14ac:dyDescent="0.2">
      <c r="A69" t="s">
        <v>184</v>
      </c>
      <c r="B69" t="s">
        <v>163</v>
      </c>
      <c r="C69">
        <v>4830</v>
      </c>
      <c r="D69">
        <v>6830</v>
      </c>
      <c r="E69" t="s">
        <v>170</v>
      </c>
      <c r="F69" t="s">
        <v>70</v>
      </c>
      <c r="G69">
        <v>10900</v>
      </c>
      <c r="I69">
        <v>-10900</v>
      </c>
      <c r="J69">
        <v>10900</v>
      </c>
      <c r="K69" t="s">
        <v>55</v>
      </c>
      <c r="L69" t="s">
        <v>171</v>
      </c>
      <c r="M69" t="s">
        <v>166</v>
      </c>
      <c r="N69" t="s">
        <v>167</v>
      </c>
    </row>
    <row r="70" spans="1:14" ht="15" customHeight="1" x14ac:dyDescent="0.2">
      <c r="A70" t="s">
        <v>184</v>
      </c>
      <c r="B70" t="s">
        <v>163</v>
      </c>
      <c r="C70">
        <v>4600</v>
      </c>
      <c r="D70">
        <v>6600</v>
      </c>
      <c r="E70" t="s">
        <v>62</v>
      </c>
      <c r="F70" t="s">
        <v>63</v>
      </c>
      <c r="G70">
        <v>3900</v>
      </c>
      <c r="I70">
        <v>-3900</v>
      </c>
      <c r="J70">
        <v>3900</v>
      </c>
      <c r="K70" t="s">
        <v>55</v>
      </c>
      <c r="L70" t="s">
        <v>63</v>
      </c>
      <c r="M70" t="s">
        <v>166</v>
      </c>
      <c r="N70" t="s">
        <v>167</v>
      </c>
    </row>
    <row r="71" spans="1:14" ht="15" customHeight="1" x14ac:dyDescent="0.2">
      <c r="A71" t="s">
        <v>184</v>
      </c>
      <c r="B71" t="s">
        <v>163</v>
      </c>
      <c r="C71">
        <v>4900</v>
      </c>
      <c r="D71">
        <v>6980</v>
      </c>
      <c r="E71" t="s">
        <v>82</v>
      </c>
      <c r="F71" t="s">
        <v>83</v>
      </c>
      <c r="G71">
        <v>5192</v>
      </c>
      <c r="I71">
        <v>-5192</v>
      </c>
      <c r="J71">
        <v>5192</v>
      </c>
      <c r="K71" t="s">
        <v>55</v>
      </c>
      <c r="L71" t="s">
        <v>172</v>
      </c>
      <c r="M71" t="s">
        <v>166</v>
      </c>
      <c r="N71" t="s">
        <v>167</v>
      </c>
    </row>
    <row r="72" spans="1:14" ht="15" customHeight="1" x14ac:dyDescent="0.2">
      <c r="A72" t="s">
        <v>185</v>
      </c>
      <c r="B72" t="s">
        <v>163</v>
      </c>
      <c r="C72">
        <v>8000</v>
      </c>
      <c r="D72">
        <v>4000</v>
      </c>
      <c r="E72" t="s">
        <v>164</v>
      </c>
      <c r="F72" t="s">
        <v>11</v>
      </c>
      <c r="H72">
        <v>110000</v>
      </c>
      <c r="I72">
        <v>110000</v>
      </c>
      <c r="J72">
        <v>110000</v>
      </c>
      <c r="K72" t="s">
        <v>12</v>
      </c>
      <c r="L72" t="s">
        <v>165</v>
      </c>
      <c r="M72" t="s">
        <v>166</v>
      </c>
      <c r="N72" t="s">
        <v>167</v>
      </c>
    </row>
    <row r="73" spans="1:14" ht="15" customHeight="1" x14ac:dyDescent="0.2">
      <c r="A73" t="s">
        <v>185</v>
      </c>
      <c r="B73" t="s">
        <v>163</v>
      </c>
      <c r="C73">
        <v>3000</v>
      </c>
      <c r="D73">
        <v>5000</v>
      </c>
      <c r="E73" t="s">
        <v>168</v>
      </c>
      <c r="F73" t="s">
        <v>31</v>
      </c>
      <c r="G73">
        <v>37000</v>
      </c>
      <c r="I73">
        <v>-37000</v>
      </c>
      <c r="J73">
        <v>37000</v>
      </c>
      <c r="K73" t="s">
        <v>32</v>
      </c>
      <c r="L73" t="s">
        <v>169</v>
      </c>
      <c r="M73" t="s">
        <v>166</v>
      </c>
      <c r="N73" t="s">
        <v>167</v>
      </c>
    </row>
    <row r="74" spans="1:14" ht="15" customHeight="1" x14ac:dyDescent="0.2">
      <c r="A74" t="s">
        <v>185</v>
      </c>
      <c r="B74" t="s">
        <v>163</v>
      </c>
      <c r="C74">
        <v>4100</v>
      </c>
      <c r="D74">
        <v>6000</v>
      </c>
      <c r="E74" t="s">
        <v>42</v>
      </c>
      <c r="F74" t="s">
        <v>43</v>
      </c>
      <c r="G74">
        <v>24000</v>
      </c>
      <c r="I74">
        <v>-24000</v>
      </c>
      <c r="J74">
        <v>24000</v>
      </c>
      <c r="K74" t="s">
        <v>44</v>
      </c>
      <c r="L74" t="s">
        <v>43</v>
      </c>
      <c r="M74" t="s">
        <v>166</v>
      </c>
      <c r="N74" t="s">
        <v>167</v>
      </c>
    </row>
    <row r="75" spans="1:14" ht="15" customHeight="1" x14ac:dyDescent="0.2">
      <c r="A75" t="s">
        <v>185</v>
      </c>
      <c r="B75" t="s">
        <v>163</v>
      </c>
      <c r="C75">
        <v>4210</v>
      </c>
      <c r="D75">
        <v>6300</v>
      </c>
      <c r="E75" t="s">
        <v>53</v>
      </c>
      <c r="F75" t="s">
        <v>54</v>
      </c>
      <c r="G75">
        <v>4500</v>
      </c>
      <c r="I75">
        <v>-4500</v>
      </c>
      <c r="J75">
        <v>4500</v>
      </c>
      <c r="K75" t="s">
        <v>55</v>
      </c>
      <c r="L75" t="s">
        <v>172</v>
      </c>
      <c r="M75" t="s">
        <v>166</v>
      </c>
      <c r="N75" t="s">
        <v>167</v>
      </c>
    </row>
    <row r="76" spans="1:14" ht="15" customHeight="1" x14ac:dyDescent="0.2">
      <c r="A76" t="s">
        <v>185</v>
      </c>
      <c r="B76" t="s">
        <v>163</v>
      </c>
      <c r="C76">
        <v>4830</v>
      </c>
      <c r="D76">
        <v>6830</v>
      </c>
      <c r="E76" t="s">
        <v>170</v>
      </c>
      <c r="F76" t="s">
        <v>70</v>
      </c>
      <c r="G76">
        <v>11500</v>
      </c>
      <c r="I76">
        <v>-11500</v>
      </c>
      <c r="J76">
        <v>11500</v>
      </c>
      <c r="K76" t="s">
        <v>55</v>
      </c>
      <c r="L76" t="s">
        <v>171</v>
      </c>
      <c r="M76" t="s">
        <v>166</v>
      </c>
      <c r="N76" t="s">
        <v>167</v>
      </c>
    </row>
    <row r="77" spans="1:14" ht="15" customHeight="1" x14ac:dyDescent="0.2">
      <c r="A77" t="s">
        <v>185</v>
      </c>
      <c r="B77" t="s">
        <v>163</v>
      </c>
      <c r="C77">
        <v>4600</v>
      </c>
      <c r="D77">
        <v>6600</v>
      </c>
      <c r="E77" t="s">
        <v>62</v>
      </c>
      <c r="F77" t="s">
        <v>63</v>
      </c>
      <c r="G77">
        <v>4300</v>
      </c>
      <c r="I77">
        <v>-4300</v>
      </c>
      <c r="J77">
        <v>4300</v>
      </c>
      <c r="K77" t="s">
        <v>55</v>
      </c>
      <c r="L77" t="s">
        <v>63</v>
      </c>
      <c r="M77" t="s">
        <v>166</v>
      </c>
      <c r="N77" t="s">
        <v>167</v>
      </c>
    </row>
    <row r="78" spans="1:14" ht="15" customHeight="1" x14ac:dyDescent="0.2">
      <c r="A78" t="s">
        <v>185</v>
      </c>
      <c r="B78" t="s">
        <v>163</v>
      </c>
      <c r="C78">
        <v>4900</v>
      </c>
      <c r="D78">
        <v>6980</v>
      </c>
      <c r="E78" t="s">
        <v>82</v>
      </c>
      <c r="F78" t="s">
        <v>83</v>
      </c>
      <c r="G78">
        <v>6200</v>
      </c>
      <c r="I78">
        <v>-6200</v>
      </c>
      <c r="J78">
        <v>6200</v>
      </c>
      <c r="K78" t="s">
        <v>55</v>
      </c>
      <c r="L78" t="s">
        <v>172</v>
      </c>
      <c r="M78" t="s">
        <v>166</v>
      </c>
      <c r="N78" t="s">
        <v>167</v>
      </c>
    </row>
    <row r="79" spans="1:14" ht="15" customHeight="1" x14ac:dyDescent="0.2">
      <c r="A79" t="s">
        <v>186</v>
      </c>
      <c r="B79" t="s">
        <v>163</v>
      </c>
      <c r="C79">
        <v>8000</v>
      </c>
      <c r="D79">
        <v>4000</v>
      </c>
      <c r="E79" t="s">
        <v>164</v>
      </c>
      <c r="F79" t="s">
        <v>11</v>
      </c>
      <c r="H79">
        <v>113000</v>
      </c>
      <c r="I79">
        <v>113000</v>
      </c>
      <c r="J79">
        <v>113000</v>
      </c>
      <c r="K79" t="s">
        <v>12</v>
      </c>
      <c r="L79" t="s">
        <v>165</v>
      </c>
      <c r="M79" t="s">
        <v>166</v>
      </c>
      <c r="N79" t="s">
        <v>167</v>
      </c>
    </row>
    <row r="80" spans="1:14" ht="15" customHeight="1" x14ac:dyDescent="0.2">
      <c r="A80" t="s">
        <v>186</v>
      </c>
      <c r="B80" t="s">
        <v>163</v>
      </c>
      <c r="C80">
        <v>3000</v>
      </c>
      <c r="D80">
        <v>5000</v>
      </c>
      <c r="E80" t="s">
        <v>168</v>
      </c>
      <c r="F80" t="s">
        <v>31</v>
      </c>
      <c r="G80">
        <v>38000</v>
      </c>
      <c r="I80">
        <v>-38000</v>
      </c>
      <c r="J80">
        <v>38000</v>
      </c>
      <c r="K80" t="s">
        <v>32</v>
      </c>
      <c r="L80" t="s">
        <v>169</v>
      </c>
      <c r="M80" t="s">
        <v>166</v>
      </c>
      <c r="N80" t="s">
        <v>167</v>
      </c>
    </row>
    <row r="81" spans="1:14" ht="15" customHeight="1" x14ac:dyDescent="0.2">
      <c r="A81" t="s">
        <v>186</v>
      </c>
      <c r="B81" t="s">
        <v>163</v>
      </c>
      <c r="C81">
        <v>4100</v>
      </c>
      <c r="D81">
        <v>6000</v>
      </c>
      <c r="E81" t="s">
        <v>42</v>
      </c>
      <c r="F81" t="s">
        <v>43</v>
      </c>
      <c r="G81">
        <v>24000</v>
      </c>
      <c r="I81">
        <v>-24000</v>
      </c>
      <c r="J81">
        <v>24000</v>
      </c>
      <c r="K81" t="s">
        <v>44</v>
      </c>
      <c r="L81" t="s">
        <v>43</v>
      </c>
      <c r="M81" t="s">
        <v>166</v>
      </c>
      <c r="N81" t="s">
        <v>167</v>
      </c>
    </row>
    <row r="82" spans="1:14" ht="15" customHeight="1" x14ac:dyDescent="0.2">
      <c r="A82" t="s">
        <v>186</v>
      </c>
      <c r="B82" t="s">
        <v>163</v>
      </c>
      <c r="C82">
        <v>4210</v>
      </c>
      <c r="D82">
        <v>6300</v>
      </c>
      <c r="E82" t="s">
        <v>53</v>
      </c>
      <c r="F82" t="s">
        <v>54</v>
      </c>
      <c r="G82">
        <v>4600</v>
      </c>
      <c r="I82">
        <v>-4600</v>
      </c>
      <c r="J82">
        <v>4600</v>
      </c>
      <c r="K82" t="s">
        <v>55</v>
      </c>
      <c r="L82" t="s">
        <v>172</v>
      </c>
      <c r="M82" t="s">
        <v>166</v>
      </c>
      <c r="N82" t="s">
        <v>167</v>
      </c>
    </row>
    <row r="83" spans="1:14" ht="15" customHeight="1" x14ac:dyDescent="0.2">
      <c r="A83" t="s">
        <v>186</v>
      </c>
      <c r="B83" t="s">
        <v>163</v>
      </c>
      <c r="C83">
        <v>4830</v>
      </c>
      <c r="D83">
        <v>6830</v>
      </c>
      <c r="E83" t="s">
        <v>170</v>
      </c>
      <c r="F83" t="s">
        <v>70</v>
      </c>
      <c r="G83">
        <v>11800</v>
      </c>
      <c r="I83">
        <v>-11800</v>
      </c>
      <c r="J83">
        <v>11800</v>
      </c>
      <c r="K83" t="s">
        <v>55</v>
      </c>
      <c r="L83" t="s">
        <v>171</v>
      </c>
      <c r="M83" t="s">
        <v>166</v>
      </c>
      <c r="N83" t="s">
        <v>167</v>
      </c>
    </row>
    <row r="84" spans="1:14" ht="15" customHeight="1" x14ac:dyDescent="0.2">
      <c r="A84" t="s">
        <v>186</v>
      </c>
      <c r="B84" t="s">
        <v>163</v>
      </c>
      <c r="C84">
        <v>4600</v>
      </c>
      <c r="D84">
        <v>6600</v>
      </c>
      <c r="E84" t="s">
        <v>62</v>
      </c>
      <c r="F84" t="s">
        <v>63</v>
      </c>
      <c r="G84">
        <v>4400</v>
      </c>
      <c r="I84">
        <v>-4400</v>
      </c>
      <c r="J84">
        <v>4400</v>
      </c>
      <c r="K84" t="s">
        <v>55</v>
      </c>
      <c r="L84" t="s">
        <v>63</v>
      </c>
      <c r="M84" t="s">
        <v>166</v>
      </c>
      <c r="N84" t="s">
        <v>167</v>
      </c>
    </row>
    <row r="85" spans="1:14" ht="15" customHeight="1" x14ac:dyDescent="0.2">
      <c r="A85" t="s">
        <v>186</v>
      </c>
      <c r="B85" t="s">
        <v>163</v>
      </c>
      <c r="C85">
        <v>4900</v>
      </c>
      <c r="D85">
        <v>6980</v>
      </c>
      <c r="E85" t="s">
        <v>82</v>
      </c>
      <c r="F85" t="s">
        <v>83</v>
      </c>
      <c r="G85">
        <v>6200</v>
      </c>
      <c r="I85">
        <v>-6200</v>
      </c>
      <c r="J85">
        <v>6200</v>
      </c>
      <c r="K85" t="s">
        <v>55</v>
      </c>
      <c r="L85" t="s">
        <v>172</v>
      </c>
      <c r="M85" t="s">
        <v>166</v>
      </c>
      <c r="N85" t="s">
        <v>167</v>
      </c>
    </row>
    <row r="86" spans="1:14" ht="15" customHeight="1" x14ac:dyDescent="0.2">
      <c r="A86" t="s">
        <v>187</v>
      </c>
      <c r="B86" t="s">
        <v>163</v>
      </c>
      <c r="C86">
        <v>8000</v>
      </c>
      <c r="D86">
        <v>4000</v>
      </c>
      <c r="E86" t="s">
        <v>164</v>
      </c>
      <c r="F86" t="s">
        <v>11</v>
      </c>
      <c r="H86">
        <v>118000</v>
      </c>
      <c r="I86">
        <v>118000</v>
      </c>
      <c r="J86">
        <v>118000</v>
      </c>
      <c r="K86" t="s">
        <v>12</v>
      </c>
      <c r="L86" t="s">
        <v>165</v>
      </c>
      <c r="M86" t="s">
        <v>166</v>
      </c>
      <c r="N86" t="s">
        <v>167</v>
      </c>
    </row>
    <row r="87" spans="1:14" ht="15" customHeight="1" x14ac:dyDescent="0.2">
      <c r="A87" t="s">
        <v>187</v>
      </c>
      <c r="B87" t="s">
        <v>163</v>
      </c>
      <c r="C87">
        <v>3000</v>
      </c>
      <c r="D87">
        <v>5000</v>
      </c>
      <c r="E87" t="s">
        <v>168</v>
      </c>
      <c r="F87" t="s">
        <v>31</v>
      </c>
      <c r="G87">
        <v>40000</v>
      </c>
      <c r="I87">
        <v>-40000</v>
      </c>
      <c r="J87">
        <v>40000</v>
      </c>
      <c r="K87" t="s">
        <v>32</v>
      </c>
      <c r="L87" t="s">
        <v>169</v>
      </c>
      <c r="M87" t="s">
        <v>166</v>
      </c>
      <c r="N87" t="s">
        <v>167</v>
      </c>
    </row>
    <row r="88" spans="1:14" ht="15" customHeight="1" x14ac:dyDescent="0.2">
      <c r="A88" t="s">
        <v>187</v>
      </c>
      <c r="B88" t="s">
        <v>163</v>
      </c>
      <c r="C88">
        <v>4100</v>
      </c>
      <c r="D88">
        <v>6000</v>
      </c>
      <c r="E88" t="s">
        <v>42</v>
      </c>
      <c r="F88" t="s">
        <v>43</v>
      </c>
      <c r="G88">
        <v>24500</v>
      </c>
      <c r="I88">
        <v>-24500</v>
      </c>
      <c r="J88">
        <v>24500</v>
      </c>
      <c r="K88" t="s">
        <v>44</v>
      </c>
      <c r="L88" t="s">
        <v>43</v>
      </c>
      <c r="M88" t="s">
        <v>166</v>
      </c>
      <c r="N88" t="s">
        <v>167</v>
      </c>
    </row>
    <row r="89" spans="1:14" ht="15" customHeight="1" x14ac:dyDescent="0.2">
      <c r="A89" t="s">
        <v>187</v>
      </c>
      <c r="B89" t="s">
        <v>163</v>
      </c>
      <c r="C89">
        <v>4210</v>
      </c>
      <c r="D89">
        <v>6300</v>
      </c>
      <c r="E89" t="s">
        <v>53</v>
      </c>
      <c r="F89" t="s">
        <v>54</v>
      </c>
      <c r="G89">
        <v>4600</v>
      </c>
      <c r="I89">
        <v>-4600</v>
      </c>
      <c r="J89">
        <v>4600</v>
      </c>
      <c r="K89" t="s">
        <v>55</v>
      </c>
      <c r="L89" t="s">
        <v>172</v>
      </c>
      <c r="M89" t="s">
        <v>166</v>
      </c>
      <c r="N89" t="s">
        <v>167</v>
      </c>
    </row>
    <row r="90" spans="1:14" ht="15" customHeight="1" x14ac:dyDescent="0.2">
      <c r="A90" t="s">
        <v>187</v>
      </c>
      <c r="B90" t="s">
        <v>163</v>
      </c>
      <c r="C90">
        <v>4830</v>
      </c>
      <c r="D90">
        <v>6830</v>
      </c>
      <c r="E90" t="s">
        <v>170</v>
      </c>
      <c r="F90" t="s">
        <v>70</v>
      </c>
      <c r="G90">
        <v>12000</v>
      </c>
      <c r="I90">
        <v>-12000</v>
      </c>
      <c r="J90">
        <v>12000</v>
      </c>
      <c r="K90" t="s">
        <v>55</v>
      </c>
      <c r="L90" t="s">
        <v>171</v>
      </c>
      <c r="M90" t="s">
        <v>166</v>
      </c>
      <c r="N90" t="s">
        <v>167</v>
      </c>
    </row>
    <row r="91" spans="1:14" ht="15" customHeight="1" x14ac:dyDescent="0.2">
      <c r="A91" t="s">
        <v>187</v>
      </c>
      <c r="B91" t="s">
        <v>163</v>
      </c>
      <c r="C91">
        <v>4600</v>
      </c>
      <c r="D91">
        <v>6600</v>
      </c>
      <c r="E91" t="s">
        <v>62</v>
      </c>
      <c r="F91" t="s">
        <v>63</v>
      </c>
      <c r="G91">
        <v>4600</v>
      </c>
      <c r="I91">
        <v>-4600</v>
      </c>
      <c r="J91">
        <v>4600</v>
      </c>
      <c r="K91" t="s">
        <v>55</v>
      </c>
      <c r="L91" t="s">
        <v>63</v>
      </c>
      <c r="M91" t="s">
        <v>166</v>
      </c>
      <c r="N91" t="s">
        <v>167</v>
      </c>
    </row>
    <row r="92" spans="1:14" ht="15" customHeight="1" x14ac:dyDescent="0.2">
      <c r="A92" t="s">
        <v>187</v>
      </c>
      <c r="B92" t="s">
        <v>163</v>
      </c>
      <c r="C92">
        <v>4900</v>
      </c>
      <c r="D92">
        <v>6980</v>
      </c>
      <c r="E92" t="s">
        <v>82</v>
      </c>
      <c r="F92" t="s">
        <v>83</v>
      </c>
      <c r="G92">
        <v>6800</v>
      </c>
      <c r="I92">
        <v>-6800</v>
      </c>
      <c r="J92">
        <v>6800</v>
      </c>
      <c r="K92" t="s">
        <v>55</v>
      </c>
      <c r="L92" t="s">
        <v>172</v>
      </c>
      <c r="M92" t="s">
        <v>166</v>
      </c>
      <c r="N92" t="s">
        <v>167</v>
      </c>
    </row>
    <row r="93" spans="1:14" ht="15" customHeight="1" x14ac:dyDescent="0.2">
      <c r="A93" t="s">
        <v>176</v>
      </c>
      <c r="B93" t="s">
        <v>163</v>
      </c>
      <c r="C93">
        <v>1400</v>
      </c>
      <c r="D93">
        <v>1200</v>
      </c>
      <c r="E93" t="s">
        <v>116</v>
      </c>
      <c r="F93" t="s">
        <v>117</v>
      </c>
      <c r="G93">
        <v>46500</v>
      </c>
      <c r="I93">
        <v>-46500</v>
      </c>
      <c r="J93">
        <v>46500</v>
      </c>
      <c r="K93" t="s">
        <v>112</v>
      </c>
      <c r="L93" t="s">
        <v>174</v>
      </c>
      <c r="M93" t="s">
        <v>166</v>
      </c>
      <c r="N93" t="s">
        <v>167</v>
      </c>
    </row>
    <row r="94" spans="1:14" ht="15" customHeight="1" x14ac:dyDescent="0.2">
      <c r="A94" t="s">
        <v>176</v>
      </c>
      <c r="B94" t="s">
        <v>163</v>
      </c>
      <c r="C94">
        <v>1200</v>
      </c>
      <c r="D94">
        <v>1800</v>
      </c>
      <c r="E94" t="s">
        <v>173</v>
      </c>
      <c r="F94" t="s">
        <v>114</v>
      </c>
      <c r="G94">
        <v>25000</v>
      </c>
      <c r="I94">
        <v>-25000</v>
      </c>
      <c r="J94">
        <v>25000</v>
      </c>
      <c r="K94" t="s">
        <v>112</v>
      </c>
      <c r="L94" t="s">
        <v>174</v>
      </c>
      <c r="M94" t="s">
        <v>166</v>
      </c>
      <c r="N94" t="s">
        <v>167</v>
      </c>
    </row>
    <row r="95" spans="1:14" ht="15" customHeight="1" x14ac:dyDescent="0.2">
      <c r="A95" t="s">
        <v>176</v>
      </c>
      <c r="B95" t="s">
        <v>163</v>
      </c>
      <c r="C95">
        <v>1600</v>
      </c>
      <c r="D95">
        <v>3200</v>
      </c>
      <c r="E95" t="s">
        <v>175</v>
      </c>
      <c r="F95" t="s">
        <v>134</v>
      </c>
      <c r="H95">
        <v>19000</v>
      </c>
      <c r="I95">
        <v>19000</v>
      </c>
      <c r="J95">
        <v>19000</v>
      </c>
      <c r="K95" t="s">
        <v>135</v>
      </c>
      <c r="L95" t="s">
        <v>174</v>
      </c>
      <c r="M95" t="s">
        <v>166</v>
      </c>
      <c r="N95" t="s">
        <v>167</v>
      </c>
    </row>
    <row r="96" spans="1:14" ht="15" customHeight="1" x14ac:dyDescent="0.2">
      <c r="A96" t="s">
        <v>179</v>
      </c>
      <c r="B96" t="s">
        <v>163</v>
      </c>
      <c r="C96">
        <v>1400</v>
      </c>
      <c r="D96">
        <v>1200</v>
      </c>
      <c r="E96" t="s">
        <v>116</v>
      </c>
      <c r="F96" t="s">
        <v>117</v>
      </c>
      <c r="G96">
        <v>48000</v>
      </c>
      <c r="I96">
        <v>-48000</v>
      </c>
      <c r="J96">
        <v>48000</v>
      </c>
      <c r="K96" t="s">
        <v>112</v>
      </c>
      <c r="L96" t="s">
        <v>174</v>
      </c>
      <c r="M96" t="s">
        <v>166</v>
      </c>
      <c r="N96" t="s">
        <v>167</v>
      </c>
    </row>
    <row r="97" spans="1:14" ht="15" customHeight="1" x14ac:dyDescent="0.2">
      <c r="A97" t="s">
        <v>179</v>
      </c>
      <c r="B97" t="s">
        <v>163</v>
      </c>
      <c r="C97">
        <v>1200</v>
      </c>
      <c r="D97">
        <v>1800</v>
      </c>
      <c r="E97" t="s">
        <v>173</v>
      </c>
      <c r="F97" t="s">
        <v>114</v>
      </c>
      <c r="G97">
        <v>27000</v>
      </c>
      <c r="I97">
        <v>-27000</v>
      </c>
      <c r="J97">
        <v>27000</v>
      </c>
      <c r="K97" t="s">
        <v>112</v>
      </c>
      <c r="L97" t="s">
        <v>174</v>
      </c>
      <c r="M97" t="s">
        <v>166</v>
      </c>
      <c r="N97" t="s">
        <v>167</v>
      </c>
    </row>
    <row r="98" spans="1:14" ht="15" customHeight="1" x14ac:dyDescent="0.2">
      <c r="A98" t="s">
        <v>179</v>
      </c>
      <c r="B98" t="s">
        <v>163</v>
      </c>
      <c r="C98">
        <v>1600</v>
      </c>
      <c r="D98">
        <v>3200</v>
      </c>
      <c r="E98" t="s">
        <v>175</v>
      </c>
      <c r="F98" t="s">
        <v>134</v>
      </c>
      <c r="H98">
        <v>20000</v>
      </c>
      <c r="I98">
        <v>20000</v>
      </c>
      <c r="J98">
        <v>20000</v>
      </c>
      <c r="K98" t="s">
        <v>135</v>
      </c>
      <c r="L98" t="s">
        <v>174</v>
      </c>
      <c r="M98" t="s">
        <v>166</v>
      </c>
      <c r="N98" t="s">
        <v>167</v>
      </c>
    </row>
    <row r="99" spans="1:14" ht="15" customHeight="1" x14ac:dyDescent="0.2">
      <c r="A99" t="s">
        <v>180</v>
      </c>
      <c r="B99" t="s">
        <v>163</v>
      </c>
      <c r="C99">
        <v>1400</v>
      </c>
      <c r="D99">
        <v>1200</v>
      </c>
      <c r="E99" t="s">
        <v>116</v>
      </c>
      <c r="F99" t="s">
        <v>117</v>
      </c>
      <c r="G99">
        <v>45000</v>
      </c>
      <c r="I99">
        <v>-45000</v>
      </c>
      <c r="J99">
        <v>45000</v>
      </c>
      <c r="K99" t="s">
        <v>112</v>
      </c>
      <c r="L99" t="s">
        <v>174</v>
      </c>
      <c r="M99" t="s">
        <v>166</v>
      </c>
      <c r="N99" t="s">
        <v>167</v>
      </c>
    </row>
    <row r="100" spans="1:14" ht="15" customHeight="1" x14ac:dyDescent="0.2">
      <c r="A100" t="s">
        <v>180</v>
      </c>
      <c r="B100" t="s">
        <v>163</v>
      </c>
      <c r="C100">
        <v>1200</v>
      </c>
      <c r="D100">
        <v>1800</v>
      </c>
      <c r="E100" t="s">
        <v>173</v>
      </c>
      <c r="F100" t="s">
        <v>114</v>
      </c>
      <c r="G100">
        <v>26000</v>
      </c>
      <c r="I100">
        <v>-26000</v>
      </c>
      <c r="J100">
        <v>26000</v>
      </c>
      <c r="K100" t="s">
        <v>112</v>
      </c>
      <c r="L100" t="s">
        <v>174</v>
      </c>
      <c r="M100" t="s">
        <v>166</v>
      </c>
      <c r="N100" t="s">
        <v>167</v>
      </c>
    </row>
    <row r="101" spans="1:14" ht="15" customHeight="1" x14ac:dyDescent="0.2">
      <c r="A101" t="s">
        <v>180</v>
      </c>
      <c r="B101" t="s">
        <v>163</v>
      </c>
      <c r="C101">
        <v>1600</v>
      </c>
      <c r="D101">
        <v>3200</v>
      </c>
      <c r="E101" t="s">
        <v>175</v>
      </c>
      <c r="F101" t="s">
        <v>134</v>
      </c>
      <c r="H101">
        <v>19000</v>
      </c>
      <c r="I101">
        <v>19000</v>
      </c>
      <c r="J101">
        <v>19000</v>
      </c>
      <c r="K101" t="s">
        <v>135</v>
      </c>
      <c r="L101" t="s">
        <v>174</v>
      </c>
      <c r="M101" t="s">
        <v>166</v>
      </c>
      <c r="N101" t="s">
        <v>167</v>
      </c>
    </row>
    <row r="102" spans="1:14" ht="15" customHeight="1" x14ac:dyDescent="0.2">
      <c r="A102" t="s">
        <v>181</v>
      </c>
      <c r="B102" t="s">
        <v>163</v>
      </c>
      <c r="C102">
        <v>1400</v>
      </c>
      <c r="D102">
        <v>1200</v>
      </c>
      <c r="E102" t="s">
        <v>116</v>
      </c>
      <c r="F102" t="s">
        <v>117</v>
      </c>
      <c r="G102">
        <v>48500</v>
      </c>
      <c r="I102">
        <v>-48500</v>
      </c>
      <c r="J102">
        <v>48500</v>
      </c>
      <c r="K102" t="s">
        <v>112</v>
      </c>
      <c r="L102" t="s">
        <v>174</v>
      </c>
      <c r="M102" t="s">
        <v>166</v>
      </c>
      <c r="N102" t="s">
        <v>167</v>
      </c>
    </row>
    <row r="103" spans="1:14" ht="15" customHeight="1" x14ac:dyDescent="0.2">
      <c r="A103" t="s">
        <v>181</v>
      </c>
      <c r="B103" t="s">
        <v>163</v>
      </c>
      <c r="C103">
        <v>1200</v>
      </c>
      <c r="D103">
        <v>1800</v>
      </c>
      <c r="E103" t="s">
        <v>173</v>
      </c>
      <c r="F103" t="s">
        <v>114</v>
      </c>
      <c r="G103">
        <v>28500</v>
      </c>
      <c r="I103">
        <v>-28500</v>
      </c>
      <c r="J103">
        <v>28500</v>
      </c>
      <c r="K103" t="s">
        <v>112</v>
      </c>
      <c r="L103" t="s">
        <v>174</v>
      </c>
      <c r="M103" t="s">
        <v>166</v>
      </c>
      <c r="N103" t="s">
        <v>167</v>
      </c>
    </row>
    <row r="104" spans="1:14" ht="15" customHeight="1" x14ac:dyDescent="0.2">
      <c r="A104" t="s">
        <v>181</v>
      </c>
      <c r="B104" t="s">
        <v>163</v>
      </c>
      <c r="C104">
        <v>1600</v>
      </c>
      <c r="D104">
        <v>3200</v>
      </c>
      <c r="E104" t="s">
        <v>175</v>
      </c>
      <c r="F104" t="s">
        <v>134</v>
      </c>
      <c r="H104">
        <v>20300</v>
      </c>
      <c r="I104">
        <v>20300</v>
      </c>
      <c r="J104">
        <v>20300</v>
      </c>
      <c r="K104" t="s">
        <v>135</v>
      </c>
      <c r="L104" t="s">
        <v>174</v>
      </c>
      <c r="M104" t="s">
        <v>166</v>
      </c>
      <c r="N104" t="s">
        <v>167</v>
      </c>
    </row>
    <row r="105" spans="1:14" ht="15" customHeight="1" x14ac:dyDescent="0.2">
      <c r="A105" t="s">
        <v>182</v>
      </c>
      <c r="B105" t="s">
        <v>163</v>
      </c>
      <c r="C105">
        <v>1400</v>
      </c>
      <c r="D105">
        <v>1200</v>
      </c>
      <c r="E105" t="s">
        <v>116</v>
      </c>
      <c r="F105" t="s">
        <v>117</v>
      </c>
      <c r="G105">
        <v>50000</v>
      </c>
      <c r="I105">
        <v>-50000</v>
      </c>
      <c r="J105">
        <v>50000</v>
      </c>
      <c r="K105" t="s">
        <v>112</v>
      </c>
      <c r="L105" t="s">
        <v>174</v>
      </c>
      <c r="M105" t="s">
        <v>166</v>
      </c>
      <c r="N105" t="s">
        <v>167</v>
      </c>
    </row>
    <row r="106" spans="1:14" ht="15" customHeight="1" x14ac:dyDescent="0.2">
      <c r="A106" t="s">
        <v>182</v>
      </c>
      <c r="B106" t="s">
        <v>163</v>
      </c>
      <c r="C106">
        <v>1200</v>
      </c>
      <c r="D106">
        <v>1800</v>
      </c>
      <c r="E106" t="s">
        <v>173</v>
      </c>
      <c r="F106" t="s">
        <v>114</v>
      </c>
      <c r="G106">
        <v>29500</v>
      </c>
      <c r="I106">
        <v>-29500</v>
      </c>
      <c r="J106">
        <v>29500</v>
      </c>
      <c r="K106" t="s">
        <v>112</v>
      </c>
      <c r="L106" t="s">
        <v>174</v>
      </c>
      <c r="M106" t="s">
        <v>166</v>
      </c>
      <c r="N106" t="s">
        <v>167</v>
      </c>
    </row>
    <row r="107" spans="1:14" ht="15" customHeight="1" x14ac:dyDescent="0.2">
      <c r="A107" t="s">
        <v>182</v>
      </c>
      <c r="B107" t="s">
        <v>163</v>
      </c>
      <c r="C107">
        <v>1600</v>
      </c>
      <c r="D107">
        <v>3200</v>
      </c>
      <c r="E107" t="s">
        <v>175</v>
      </c>
      <c r="F107" t="s">
        <v>134</v>
      </c>
      <c r="H107">
        <v>21000</v>
      </c>
      <c r="I107">
        <v>21000</v>
      </c>
      <c r="J107">
        <v>21000</v>
      </c>
      <c r="K107" t="s">
        <v>135</v>
      </c>
      <c r="L107" t="s">
        <v>174</v>
      </c>
      <c r="M107" t="s">
        <v>166</v>
      </c>
      <c r="N107" t="s">
        <v>167</v>
      </c>
    </row>
    <row r="108" spans="1:14" ht="15" customHeight="1" x14ac:dyDescent="0.2">
      <c r="A108" t="s">
        <v>183</v>
      </c>
      <c r="B108" t="s">
        <v>163</v>
      </c>
      <c r="C108">
        <v>1400</v>
      </c>
      <c r="D108">
        <v>1200</v>
      </c>
      <c r="E108" t="s">
        <v>116</v>
      </c>
      <c r="F108" t="s">
        <v>117</v>
      </c>
      <c r="G108">
        <v>49000</v>
      </c>
      <c r="I108">
        <v>-49000</v>
      </c>
      <c r="J108">
        <v>49000</v>
      </c>
      <c r="K108" t="s">
        <v>112</v>
      </c>
      <c r="L108" t="s">
        <v>174</v>
      </c>
      <c r="M108" t="s">
        <v>166</v>
      </c>
      <c r="N108" t="s">
        <v>167</v>
      </c>
    </row>
    <row r="109" spans="1:14" ht="15" customHeight="1" x14ac:dyDescent="0.2">
      <c r="A109" t="s">
        <v>183</v>
      </c>
      <c r="B109" t="s">
        <v>163</v>
      </c>
      <c r="C109">
        <v>1200</v>
      </c>
      <c r="D109">
        <v>1800</v>
      </c>
      <c r="E109" t="s">
        <v>173</v>
      </c>
      <c r="F109" t="s">
        <v>114</v>
      </c>
      <c r="G109">
        <v>29500</v>
      </c>
      <c r="I109">
        <v>-29500</v>
      </c>
      <c r="J109">
        <v>29500</v>
      </c>
      <c r="K109" t="s">
        <v>112</v>
      </c>
      <c r="L109" t="s">
        <v>174</v>
      </c>
      <c r="M109" t="s">
        <v>166</v>
      </c>
      <c r="N109" t="s">
        <v>167</v>
      </c>
    </row>
    <row r="110" spans="1:14" ht="15" customHeight="1" x14ac:dyDescent="0.2">
      <c r="A110" t="s">
        <v>183</v>
      </c>
      <c r="B110" t="s">
        <v>163</v>
      </c>
      <c r="C110">
        <v>1600</v>
      </c>
      <c r="D110">
        <v>3200</v>
      </c>
      <c r="E110" t="s">
        <v>175</v>
      </c>
      <c r="F110" t="s">
        <v>134</v>
      </c>
      <c r="H110">
        <v>20600</v>
      </c>
      <c r="I110">
        <v>20600</v>
      </c>
      <c r="J110">
        <v>20600</v>
      </c>
      <c r="K110" t="s">
        <v>135</v>
      </c>
      <c r="L110" t="s">
        <v>174</v>
      </c>
      <c r="M110" t="s">
        <v>166</v>
      </c>
      <c r="N110" t="s">
        <v>167</v>
      </c>
    </row>
    <row r="111" spans="1:14" ht="15" customHeight="1" x14ac:dyDescent="0.2">
      <c r="A111" t="s">
        <v>184</v>
      </c>
      <c r="B111" t="s">
        <v>163</v>
      </c>
      <c r="C111">
        <v>1400</v>
      </c>
      <c r="D111">
        <v>1200</v>
      </c>
      <c r="E111" t="s">
        <v>116</v>
      </c>
      <c r="F111" t="s">
        <v>117</v>
      </c>
      <c r="G111">
        <v>51000</v>
      </c>
      <c r="I111">
        <v>-51000</v>
      </c>
      <c r="J111">
        <v>51000</v>
      </c>
      <c r="K111" t="s">
        <v>112</v>
      </c>
      <c r="L111" t="s">
        <v>174</v>
      </c>
      <c r="M111" t="s">
        <v>166</v>
      </c>
      <c r="N111" t="s">
        <v>167</v>
      </c>
    </row>
    <row r="112" spans="1:14" ht="15" customHeight="1" x14ac:dyDescent="0.2">
      <c r="A112" t="s">
        <v>184</v>
      </c>
      <c r="B112" t="s">
        <v>163</v>
      </c>
      <c r="C112">
        <v>1200</v>
      </c>
      <c r="D112">
        <v>1800</v>
      </c>
      <c r="E112" t="s">
        <v>173</v>
      </c>
      <c r="F112" t="s">
        <v>114</v>
      </c>
      <c r="G112">
        <v>31000</v>
      </c>
      <c r="I112">
        <v>-31000</v>
      </c>
      <c r="J112">
        <v>31000</v>
      </c>
      <c r="K112" t="s">
        <v>112</v>
      </c>
      <c r="L112" t="s">
        <v>174</v>
      </c>
      <c r="M112" t="s">
        <v>166</v>
      </c>
      <c r="N112" t="s">
        <v>167</v>
      </c>
    </row>
    <row r="113" spans="1:14" ht="15" customHeight="1" x14ac:dyDescent="0.2">
      <c r="A113" t="s">
        <v>184</v>
      </c>
      <c r="B113" t="s">
        <v>163</v>
      </c>
      <c r="C113">
        <v>1600</v>
      </c>
      <c r="D113">
        <v>3200</v>
      </c>
      <c r="E113" t="s">
        <v>175</v>
      </c>
      <c r="F113" t="s">
        <v>134</v>
      </c>
      <c r="H113">
        <v>21200</v>
      </c>
      <c r="I113">
        <v>21200</v>
      </c>
      <c r="J113">
        <v>21200</v>
      </c>
      <c r="K113" t="s">
        <v>135</v>
      </c>
      <c r="L113" t="s">
        <v>174</v>
      </c>
      <c r="M113" t="s">
        <v>166</v>
      </c>
      <c r="N113" t="s">
        <v>167</v>
      </c>
    </row>
    <row r="114" spans="1:14" ht="15" customHeight="1" x14ac:dyDescent="0.2">
      <c r="A114" t="s">
        <v>177</v>
      </c>
      <c r="B114" t="s">
        <v>163</v>
      </c>
      <c r="C114">
        <v>1400</v>
      </c>
      <c r="D114">
        <v>1200</v>
      </c>
      <c r="E114" t="s">
        <v>116</v>
      </c>
      <c r="F114" t="s">
        <v>117</v>
      </c>
      <c r="G114">
        <v>52000</v>
      </c>
      <c r="I114">
        <v>-52000</v>
      </c>
      <c r="J114">
        <v>52000</v>
      </c>
      <c r="K114" t="s">
        <v>112</v>
      </c>
      <c r="L114" t="s">
        <v>174</v>
      </c>
      <c r="M114" t="s">
        <v>166</v>
      </c>
      <c r="N114" t="s">
        <v>167</v>
      </c>
    </row>
    <row r="115" spans="1:14" ht="15" customHeight="1" x14ac:dyDescent="0.2">
      <c r="A115" t="s">
        <v>177</v>
      </c>
      <c r="B115" t="s">
        <v>163</v>
      </c>
      <c r="C115">
        <v>1200</v>
      </c>
      <c r="D115">
        <v>1800</v>
      </c>
      <c r="E115" t="s">
        <v>173</v>
      </c>
      <c r="F115" t="s">
        <v>114</v>
      </c>
      <c r="G115">
        <v>31500</v>
      </c>
      <c r="I115">
        <v>-31500</v>
      </c>
      <c r="J115">
        <v>31500</v>
      </c>
      <c r="K115" t="s">
        <v>112</v>
      </c>
      <c r="L115" t="s">
        <v>174</v>
      </c>
      <c r="M115" t="s">
        <v>166</v>
      </c>
      <c r="N115" t="s">
        <v>167</v>
      </c>
    </row>
    <row r="116" spans="1:14" ht="15" customHeight="1" x14ac:dyDescent="0.2">
      <c r="A116" t="s">
        <v>177</v>
      </c>
      <c r="B116" t="s">
        <v>163</v>
      </c>
      <c r="C116">
        <v>1600</v>
      </c>
      <c r="D116">
        <v>3200</v>
      </c>
      <c r="E116" t="s">
        <v>175</v>
      </c>
      <c r="F116" t="s">
        <v>134</v>
      </c>
      <c r="H116">
        <v>21500</v>
      </c>
      <c r="I116">
        <v>21500</v>
      </c>
      <c r="J116">
        <v>21500</v>
      </c>
      <c r="K116" t="s">
        <v>135</v>
      </c>
      <c r="L116" t="s">
        <v>174</v>
      </c>
      <c r="M116" t="s">
        <v>166</v>
      </c>
      <c r="N116" t="s">
        <v>167</v>
      </c>
    </row>
    <row r="117" spans="1:14" ht="15" customHeight="1" x14ac:dyDescent="0.2">
      <c r="A117" t="s">
        <v>185</v>
      </c>
      <c r="B117" t="s">
        <v>163</v>
      </c>
      <c r="C117">
        <v>1400</v>
      </c>
      <c r="D117">
        <v>1200</v>
      </c>
      <c r="E117" t="s">
        <v>116</v>
      </c>
      <c r="F117" t="s">
        <v>117</v>
      </c>
      <c r="G117">
        <v>53000</v>
      </c>
      <c r="I117">
        <v>-53000</v>
      </c>
      <c r="J117">
        <v>53000</v>
      </c>
      <c r="K117" t="s">
        <v>112</v>
      </c>
      <c r="L117" t="s">
        <v>174</v>
      </c>
      <c r="M117" t="s">
        <v>166</v>
      </c>
      <c r="N117" t="s">
        <v>167</v>
      </c>
    </row>
    <row r="118" spans="1:14" ht="15" customHeight="1" x14ac:dyDescent="0.2">
      <c r="A118" t="s">
        <v>185</v>
      </c>
      <c r="B118" t="s">
        <v>163</v>
      </c>
      <c r="C118">
        <v>1200</v>
      </c>
      <c r="D118">
        <v>1800</v>
      </c>
      <c r="E118" t="s">
        <v>173</v>
      </c>
      <c r="F118" t="s">
        <v>114</v>
      </c>
      <c r="G118">
        <v>32500</v>
      </c>
      <c r="I118">
        <v>-32500</v>
      </c>
      <c r="J118">
        <v>32500</v>
      </c>
      <c r="K118" t="s">
        <v>112</v>
      </c>
      <c r="L118" t="s">
        <v>174</v>
      </c>
      <c r="M118" t="s">
        <v>166</v>
      </c>
      <c r="N118" t="s">
        <v>167</v>
      </c>
    </row>
    <row r="119" spans="1:14" ht="15" customHeight="1" x14ac:dyDescent="0.2">
      <c r="A119" t="s">
        <v>185</v>
      </c>
      <c r="B119" t="s">
        <v>163</v>
      </c>
      <c r="C119">
        <v>1600</v>
      </c>
      <c r="D119">
        <v>3200</v>
      </c>
      <c r="E119" t="s">
        <v>175</v>
      </c>
      <c r="F119" t="s">
        <v>134</v>
      </c>
      <c r="H119">
        <v>22000</v>
      </c>
      <c r="I119">
        <v>22000</v>
      </c>
      <c r="J119">
        <v>22000</v>
      </c>
      <c r="K119" t="s">
        <v>135</v>
      </c>
      <c r="L119" t="s">
        <v>174</v>
      </c>
      <c r="M119" t="s">
        <v>166</v>
      </c>
      <c r="N119" t="s">
        <v>167</v>
      </c>
    </row>
    <row r="120" spans="1:14" ht="15" customHeight="1" x14ac:dyDescent="0.2">
      <c r="A120" t="s">
        <v>186</v>
      </c>
      <c r="B120" t="s">
        <v>163</v>
      </c>
      <c r="C120">
        <v>1400</v>
      </c>
      <c r="D120">
        <v>1200</v>
      </c>
      <c r="E120" t="s">
        <v>116</v>
      </c>
      <c r="F120" t="s">
        <v>117</v>
      </c>
      <c r="G120">
        <v>54500</v>
      </c>
      <c r="I120">
        <v>-54500</v>
      </c>
      <c r="J120">
        <v>54500</v>
      </c>
      <c r="K120" t="s">
        <v>112</v>
      </c>
      <c r="L120" t="s">
        <v>174</v>
      </c>
      <c r="M120" t="s">
        <v>166</v>
      </c>
      <c r="N120" t="s">
        <v>167</v>
      </c>
    </row>
    <row r="121" spans="1:14" ht="15" customHeight="1" x14ac:dyDescent="0.2">
      <c r="A121" t="s">
        <v>186</v>
      </c>
      <c r="B121" t="s">
        <v>163</v>
      </c>
      <c r="C121">
        <v>1200</v>
      </c>
      <c r="D121">
        <v>1800</v>
      </c>
      <c r="E121" t="s">
        <v>173</v>
      </c>
      <c r="F121" t="s">
        <v>114</v>
      </c>
      <c r="G121">
        <v>34000</v>
      </c>
      <c r="I121">
        <v>-34000</v>
      </c>
      <c r="J121">
        <v>34000</v>
      </c>
      <c r="K121" t="s">
        <v>112</v>
      </c>
      <c r="L121" t="s">
        <v>174</v>
      </c>
      <c r="M121" t="s">
        <v>166</v>
      </c>
      <c r="N121" t="s">
        <v>167</v>
      </c>
    </row>
    <row r="122" spans="1:14" ht="15" customHeight="1" x14ac:dyDescent="0.2">
      <c r="A122" t="s">
        <v>186</v>
      </c>
      <c r="B122" t="s">
        <v>163</v>
      </c>
      <c r="C122">
        <v>1600</v>
      </c>
      <c r="D122">
        <v>3200</v>
      </c>
      <c r="E122" t="s">
        <v>175</v>
      </c>
      <c r="F122" t="s">
        <v>134</v>
      </c>
      <c r="H122">
        <v>22500</v>
      </c>
      <c r="I122">
        <v>22500</v>
      </c>
      <c r="J122">
        <v>22500</v>
      </c>
      <c r="K122" t="s">
        <v>135</v>
      </c>
      <c r="L122" t="s">
        <v>174</v>
      </c>
      <c r="M122" t="s">
        <v>166</v>
      </c>
      <c r="N122" t="s">
        <v>167</v>
      </c>
    </row>
    <row r="123" spans="1:14" ht="15" customHeight="1" x14ac:dyDescent="0.2">
      <c r="A123" t="s">
        <v>187</v>
      </c>
      <c r="B123" t="s">
        <v>163</v>
      </c>
      <c r="C123">
        <v>1400</v>
      </c>
      <c r="D123">
        <v>1200</v>
      </c>
      <c r="E123" t="s">
        <v>116</v>
      </c>
      <c r="F123" t="s">
        <v>117</v>
      </c>
      <c r="G123">
        <v>57000</v>
      </c>
      <c r="I123">
        <v>-57000</v>
      </c>
      <c r="J123">
        <v>57000</v>
      </c>
      <c r="K123" t="s">
        <v>112</v>
      </c>
      <c r="L123" t="s">
        <v>174</v>
      </c>
      <c r="M123" t="s">
        <v>166</v>
      </c>
      <c r="N123" t="s">
        <v>167</v>
      </c>
    </row>
    <row r="124" spans="1:14" ht="15" customHeight="1" x14ac:dyDescent="0.2">
      <c r="A124" t="s">
        <v>187</v>
      </c>
      <c r="B124" t="s">
        <v>163</v>
      </c>
      <c r="C124">
        <v>1200</v>
      </c>
      <c r="D124">
        <v>1800</v>
      </c>
      <c r="E124" t="s">
        <v>173</v>
      </c>
      <c r="F124" t="s">
        <v>114</v>
      </c>
      <c r="G124">
        <v>35000</v>
      </c>
      <c r="I124">
        <v>-35000</v>
      </c>
      <c r="J124">
        <v>35000</v>
      </c>
      <c r="K124" t="s">
        <v>112</v>
      </c>
      <c r="L124" t="s">
        <v>174</v>
      </c>
      <c r="M124" t="s">
        <v>166</v>
      </c>
      <c r="N124" t="s">
        <v>167</v>
      </c>
    </row>
    <row r="125" spans="1:14" ht="15" customHeight="1" x14ac:dyDescent="0.2">
      <c r="A125" t="s">
        <v>187</v>
      </c>
      <c r="B125" t="s">
        <v>163</v>
      </c>
      <c r="C125">
        <v>1600</v>
      </c>
      <c r="D125">
        <v>3200</v>
      </c>
      <c r="E125" t="s">
        <v>175</v>
      </c>
      <c r="F125" t="s">
        <v>134</v>
      </c>
      <c r="H125">
        <v>24000</v>
      </c>
      <c r="I125">
        <v>24000</v>
      </c>
      <c r="J125">
        <v>24000</v>
      </c>
      <c r="K125" t="s">
        <v>135</v>
      </c>
      <c r="L125" t="s">
        <v>174</v>
      </c>
      <c r="M125" t="s">
        <v>166</v>
      </c>
      <c r="N125" t="s">
        <v>167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4B8A"/>
  </sheetPr>
  <dimension ref="A1:K41"/>
  <sheetViews>
    <sheetView showGridLines="0" zoomScaleNormal="100" workbookViewId="0">
      <pane ySplit="6" topLeftCell="A7" activePane="bottomLeft" state="frozen"/>
      <selection pane="bottomLeft" sqref="A1:I1"/>
    </sheetView>
  </sheetViews>
  <sheetFormatPr baseColWidth="10" defaultColWidth="8.6640625" defaultRowHeight="15" x14ac:dyDescent="0.2"/>
  <cols>
    <col min="1" max="1" width="12" customWidth="1"/>
    <col min="2" max="2" width="22" customWidth="1"/>
    <col min="3" max="4" width="10" customWidth="1"/>
    <col min="5" max="5" width="30" customWidth="1"/>
    <col min="6" max="6" width="20" customWidth="1"/>
    <col min="7" max="7" width="18" customWidth="1"/>
    <col min="8" max="8" width="12" customWidth="1"/>
    <col min="9" max="9" width="8" customWidth="1"/>
  </cols>
  <sheetData>
    <row r="1" spans="1:11" ht="45" customHeight="1" x14ac:dyDescent="0.2">
      <c r="A1" s="11" t="s">
        <v>188</v>
      </c>
      <c r="B1" s="11"/>
      <c r="C1" s="11"/>
      <c r="D1" s="11"/>
      <c r="E1" s="11"/>
      <c r="F1" s="11"/>
      <c r="G1" s="11"/>
      <c r="H1" s="11"/>
      <c r="I1" s="11"/>
    </row>
    <row r="2" spans="1:11" ht="15" customHeight="1" x14ac:dyDescent="0.2">
      <c r="A2" s="10" t="s">
        <v>189</v>
      </c>
      <c r="B2" s="10"/>
      <c r="C2" s="10"/>
      <c r="D2" s="10"/>
      <c r="E2" s="10"/>
      <c r="F2" s="10"/>
      <c r="G2" s="10"/>
      <c r="H2" s="10"/>
      <c r="I2" s="10"/>
    </row>
    <row r="4" spans="1:11" ht="21.75" customHeight="1" x14ac:dyDescent="0.2">
      <c r="A4" s="83" t="s">
        <v>190</v>
      </c>
      <c r="B4" s="83" t="s">
        <v>150</v>
      </c>
      <c r="C4" s="83" t="s">
        <v>191</v>
      </c>
      <c r="F4" s="83" t="s">
        <v>3</v>
      </c>
      <c r="G4" s="83" t="s">
        <v>4</v>
      </c>
      <c r="H4" s="83" t="s">
        <v>192</v>
      </c>
      <c r="I4" s="83" t="s">
        <v>159</v>
      </c>
      <c r="J4" s="83" t="s">
        <v>160</v>
      </c>
      <c r="K4" s="83" t="s">
        <v>161</v>
      </c>
    </row>
    <row r="5" spans="1:11" ht="15" customHeight="1" x14ac:dyDescent="0.2">
      <c r="A5" s="84" t="s">
        <v>162</v>
      </c>
      <c r="B5" s="85" t="s">
        <v>163</v>
      </c>
      <c r="C5" s="84">
        <v>8000</v>
      </c>
      <c r="F5" s="85" t="s">
        <v>164</v>
      </c>
      <c r="G5" s="85" t="s">
        <v>11</v>
      </c>
      <c r="H5" s="86">
        <v>92300</v>
      </c>
      <c r="I5" s="85" t="s">
        <v>165</v>
      </c>
      <c r="J5" s="85" t="s">
        <v>166</v>
      </c>
      <c r="K5" s="87" t="s">
        <v>167</v>
      </c>
    </row>
    <row r="6" spans="1:11" ht="15" customHeight="1" x14ac:dyDescent="0.2">
      <c r="A6" s="88" t="s">
        <v>162</v>
      </c>
      <c r="B6" s="89" t="s">
        <v>163</v>
      </c>
      <c r="C6" s="88">
        <v>4000</v>
      </c>
      <c r="F6" s="89" t="s">
        <v>31</v>
      </c>
      <c r="G6" s="89" t="s">
        <v>193</v>
      </c>
      <c r="H6" s="90">
        <v>31000</v>
      </c>
      <c r="I6" s="89" t="s">
        <v>169</v>
      </c>
      <c r="J6" s="89" t="s">
        <v>166</v>
      </c>
      <c r="K6" s="87" t="s">
        <v>167</v>
      </c>
    </row>
    <row r="7" spans="1:11" ht="15" customHeight="1" x14ac:dyDescent="0.2">
      <c r="A7" s="84" t="s">
        <v>162</v>
      </c>
      <c r="B7" s="85" t="s">
        <v>163</v>
      </c>
      <c r="C7" s="84">
        <v>4200</v>
      </c>
      <c r="F7" s="85" t="s">
        <v>194</v>
      </c>
      <c r="G7" s="85" t="s">
        <v>43</v>
      </c>
      <c r="H7" s="86">
        <v>22000</v>
      </c>
      <c r="I7" s="85" t="s">
        <v>195</v>
      </c>
      <c r="J7" s="85" t="s">
        <v>166</v>
      </c>
      <c r="K7" s="87" t="s">
        <v>167</v>
      </c>
    </row>
    <row r="8" spans="1:11" ht="15" customHeight="1" x14ac:dyDescent="0.2">
      <c r="A8" s="88" t="s">
        <v>162</v>
      </c>
      <c r="B8" s="89" t="s">
        <v>163</v>
      </c>
      <c r="C8" s="88">
        <v>4300</v>
      </c>
      <c r="F8" s="89" t="s">
        <v>196</v>
      </c>
      <c r="G8" s="89" t="s">
        <v>83</v>
      </c>
      <c r="H8" s="90">
        <v>17270</v>
      </c>
      <c r="I8" s="89" t="s">
        <v>172</v>
      </c>
      <c r="J8" s="89" t="s">
        <v>166</v>
      </c>
      <c r="K8" s="87" t="s">
        <v>167</v>
      </c>
    </row>
    <row r="9" spans="1:11" ht="15" customHeight="1" x14ac:dyDescent="0.2">
      <c r="A9" s="84" t="s">
        <v>176</v>
      </c>
      <c r="B9" s="85" t="s">
        <v>163</v>
      </c>
      <c r="C9" s="84">
        <v>8000</v>
      </c>
      <c r="F9" s="85" t="s">
        <v>164</v>
      </c>
      <c r="G9" s="85" t="s">
        <v>11</v>
      </c>
      <c r="H9" s="86">
        <v>95550</v>
      </c>
      <c r="I9" s="85" t="s">
        <v>165</v>
      </c>
      <c r="J9" s="85" t="s">
        <v>166</v>
      </c>
      <c r="K9" s="87" t="s">
        <v>167</v>
      </c>
    </row>
    <row r="10" spans="1:11" ht="15" customHeight="1" x14ac:dyDescent="0.2">
      <c r="A10" s="88" t="s">
        <v>176</v>
      </c>
      <c r="B10" s="89" t="s">
        <v>163</v>
      </c>
      <c r="C10" s="88">
        <v>4000</v>
      </c>
      <c r="F10" s="89" t="s">
        <v>31</v>
      </c>
      <c r="G10" s="89" t="s">
        <v>193</v>
      </c>
      <c r="H10" s="90">
        <v>32000</v>
      </c>
      <c r="I10" s="89" t="s">
        <v>169</v>
      </c>
      <c r="J10" s="89" t="s">
        <v>166</v>
      </c>
      <c r="K10" s="87" t="s">
        <v>167</v>
      </c>
    </row>
    <row r="11" spans="1:11" ht="15" customHeight="1" x14ac:dyDescent="0.2">
      <c r="A11" s="84" t="s">
        <v>176</v>
      </c>
      <c r="B11" s="85" t="s">
        <v>163</v>
      </c>
      <c r="C11" s="84">
        <v>4200</v>
      </c>
      <c r="F11" s="85" t="s">
        <v>194</v>
      </c>
      <c r="G11" s="85" t="s">
        <v>43</v>
      </c>
      <c r="H11" s="86">
        <v>22000</v>
      </c>
      <c r="I11" s="85" t="s">
        <v>195</v>
      </c>
      <c r="J11" s="85" t="s">
        <v>166</v>
      </c>
      <c r="K11" s="87" t="s">
        <v>167</v>
      </c>
    </row>
    <row r="12" spans="1:11" ht="15" customHeight="1" x14ac:dyDescent="0.2">
      <c r="A12" s="88" t="s">
        <v>176</v>
      </c>
      <c r="B12" s="89" t="s">
        <v>163</v>
      </c>
      <c r="C12" s="88">
        <v>4300</v>
      </c>
      <c r="F12" s="89" t="s">
        <v>196</v>
      </c>
      <c r="G12" s="89" t="s">
        <v>83</v>
      </c>
      <c r="H12" s="90">
        <v>19465</v>
      </c>
      <c r="I12" s="89" t="s">
        <v>172</v>
      </c>
      <c r="J12" s="89" t="s">
        <v>166</v>
      </c>
      <c r="K12" s="87" t="s">
        <v>167</v>
      </c>
    </row>
    <row r="13" spans="1:11" ht="15" customHeight="1" x14ac:dyDescent="0.2">
      <c r="A13" s="84" t="s">
        <v>179</v>
      </c>
      <c r="B13" s="85" t="s">
        <v>163</v>
      </c>
      <c r="C13" s="84">
        <v>8000</v>
      </c>
      <c r="F13" s="85" t="s">
        <v>164</v>
      </c>
      <c r="G13" s="85" t="s">
        <v>11</v>
      </c>
      <c r="H13" s="86">
        <v>100100</v>
      </c>
      <c r="I13" s="85" t="s">
        <v>165</v>
      </c>
      <c r="J13" s="85" t="s">
        <v>166</v>
      </c>
      <c r="K13" s="87" t="s">
        <v>167</v>
      </c>
    </row>
    <row r="14" spans="1:11" ht="15" customHeight="1" x14ac:dyDescent="0.2">
      <c r="A14" s="88" t="s">
        <v>179</v>
      </c>
      <c r="B14" s="89" t="s">
        <v>163</v>
      </c>
      <c r="C14" s="88">
        <v>4000</v>
      </c>
      <c r="F14" s="89" t="s">
        <v>31</v>
      </c>
      <c r="G14" s="89" t="s">
        <v>193</v>
      </c>
      <c r="H14" s="90">
        <v>33500</v>
      </c>
      <c r="I14" s="89" t="s">
        <v>169</v>
      </c>
      <c r="J14" s="89" t="s">
        <v>166</v>
      </c>
      <c r="K14" s="87" t="s">
        <v>167</v>
      </c>
    </row>
    <row r="15" spans="1:11" ht="15" customHeight="1" x14ac:dyDescent="0.2">
      <c r="A15" s="84" t="s">
        <v>179</v>
      </c>
      <c r="B15" s="85" t="s">
        <v>163</v>
      </c>
      <c r="C15" s="84">
        <v>4200</v>
      </c>
      <c r="F15" s="85" t="s">
        <v>194</v>
      </c>
      <c r="G15" s="85" t="s">
        <v>43</v>
      </c>
      <c r="H15" s="86">
        <v>22500</v>
      </c>
      <c r="I15" s="85" t="s">
        <v>195</v>
      </c>
      <c r="J15" s="85" t="s">
        <v>166</v>
      </c>
      <c r="K15" s="87" t="s">
        <v>167</v>
      </c>
    </row>
    <row r="16" spans="1:11" ht="15" customHeight="1" x14ac:dyDescent="0.2">
      <c r="A16" s="88" t="s">
        <v>179</v>
      </c>
      <c r="B16" s="89" t="s">
        <v>163</v>
      </c>
      <c r="C16" s="88">
        <v>4300</v>
      </c>
      <c r="F16" s="89" t="s">
        <v>196</v>
      </c>
      <c r="G16" s="89" t="s">
        <v>83</v>
      </c>
      <c r="H16" s="90">
        <v>22930</v>
      </c>
      <c r="I16" s="89" t="s">
        <v>172</v>
      </c>
      <c r="J16" s="89" t="s">
        <v>166</v>
      </c>
      <c r="K16" s="87" t="s">
        <v>167</v>
      </c>
    </row>
    <row r="17" spans="1:11" ht="15" customHeight="1" x14ac:dyDescent="0.2">
      <c r="A17" s="84" t="s">
        <v>180</v>
      </c>
      <c r="B17" s="85" t="s">
        <v>163</v>
      </c>
      <c r="C17" s="84">
        <v>8000</v>
      </c>
      <c r="F17" s="85" t="s">
        <v>164</v>
      </c>
      <c r="G17" s="85" t="s">
        <v>11</v>
      </c>
      <c r="H17" s="86">
        <v>93780</v>
      </c>
      <c r="I17" s="85" t="s">
        <v>165</v>
      </c>
      <c r="J17" s="85" t="s">
        <v>166</v>
      </c>
      <c r="K17" s="87" t="s">
        <v>167</v>
      </c>
    </row>
    <row r="18" spans="1:11" ht="15" customHeight="1" x14ac:dyDescent="0.2">
      <c r="A18" s="88" t="s">
        <v>180</v>
      </c>
      <c r="B18" s="89" t="s">
        <v>163</v>
      </c>
      <c r="C18" s="88">
        <v>4000</v>
      </c>
      <c r="F18" s="89" t="s">
        <v>31</v>
      </c>
      <c r="G18" s="89" t="s">
        <v>193</v>
      </c>
      <c r="H18" s="90">
        <v>32000</v>
      </c>
      <c r="I18" s="89" t="s">
        <v>169</v>
      </c>
      <c r="J18" s="89" t="s">
        <v>166</v>
      </c>
      <c r="K18" s="87" t="s">
        <v>167</v>
      </c>
    </row>
    <row r="19" spans="1:11" ht="15" customHeight="1" x14ac:dyDescent="0.2">
      <c r="A19" s="84" t="s">
        <v>180</v>
      </c>
      <c r="B19" s="85" t="s">
        <v>163</v>
      </c>
      <c r="C19" s="84">
        <v>4200</v>
      </c>
      <c r="F19" s="85" t="s">
        <v>194</v>
      </c>
      <c r="G19" s="85" t="s">
        <v>43</v>
      </c>
      <c r="H19" s="86">
        <v>22000</v>
      </c>
      <c r="I19" s="85" t="s">
        <v>195</v>
      </c>
      <c r="J19" s="85" t="s">
        <v>166</v>
      </c>
      <c r="K19" s="87" t="s">
        <v>167</v>
      </c>
    </row>
    <row r="20" spans="1:11" ht="15" customHeight="1" x14ac:dyDescent="0.2">
      <c r="A20" s="88" t="s">
        <v>180</v>
      </c>
      <c r="B20" s="89" t="s">
        <v>163</v>
      </c>
      <c r="C20" s="88">
        <v>4300</v>
      </c>
      <c r="F20" s="89" t="s">
        <v>196</v>
      </c>
      <c r="G20" s="89" t="s">
        <v>83</v>
      </c>
      <c r="H20" s="90">
        <v>18432</v>
      </c>
      <c r="I20" s="89" t="s">
        <v>172</v>
      </c>
      <c r="J20" s="89" t="s">
        <v>166</v>
      </c>
      <c r="K20" s="87" t="s">
        <v>167</v>
      </c>
    </row>
    <row r="21" spans="1:11" ht="15" customHeight="1" x14ac:dyDescent="0.2">
      <c r="A21" s="84" t="s">
        <v>181</v>
      </c>
      <c r="B21" s="85" t="s">
        <v>163</v>
      </c>
      <c r="C21" s="84">
        <v>8000</v>
      </c>
      <c r="F21" s="85" t="s">
        <v>164</v>
      </c>
      <c r="G21" s="85" t="s">
        <v>11</v>
      </c>
      <c r="H21" s="86">
        <v>100300</v>
      </c>
      <c r="I21" s="85" t="s">
        <v>165</v>
      </c>
      <c r="J21" s="85" t="s">
        <v>166</v>
      </c>
      <c r="K21" s="87" t="s">
        <v>167</v>
      </c>
    </row>
    <row r="22" spans="1:11" ht="15" customHeight="1" x14ac:dyDescent="0.2">
      <c r="A22" s="88" t="s">
        <v>181</v>
      </c>
      <c r="B22" s="89" t="s">
        <v>163</v>
      </c>
      <c r="C22" s="88">
        <v>4000</v>
      </c>
      <c r="F22" s="89" t="s">
        <v>31</v>
      </c>
      <c r="G22" s="89" t="s">
        <v>193</v>
      </c>
      <c r="H22" s="90">
        <v>34000</v>
      </c>
      <c r="I22" s="89" t="s">
        <v>169</v>
      </c>
      <c r="J22" s="89" t="s">
        <v>166</v>
      </c>
      <c r="K22" s="87" t="s">
        <v>167</v>
      </c>
    </row>
    <row r="23" spans="1:11" ht="15" customHeight="1" x14ac:dyDescent="0.2">
      <c r="A23" s="84" t="s">
        <v>181</v>
      </c>
      <c r="B23" s="85" t="s">
        <v>163</v>
      </c>
      <c r="C23" s="84">
        <v>4200</v>
      </c>
      <c r="F23" s="85" t="s">
        <v>194</v>
      </c>
      <c r="G23" s="85" t="s">
        <v>43</v>
      </c>
      <c r="H23" s="86">
        <v>22500</v>
      </c>
      <c r="I23" s="85" t="s">
        <v>195</v>
      </c>
      <c r="J23" s="85" t="s">
        <v>166</v>
      </c>
      <c r="K23" s="87" t="s">
        <v>167</v>
      </c>
    </row>
    <row r="24" spans="1:11" ht="15" customHeight="1" x14ac:dyDescent="0.2">
      <c r="A24" s="88" t="s">
        <v>181</v>
      </c>
      <c r="B24" s="89" t="s">
        <v>163</v>
      </c>
      <c r="C24" s="88">
        <v>4300</v>
      </c>
      <c r="F24" s="89" t="s">
        <v>196</v>
      </c>
      <c r="G24" s="89" t="s">
        <v>83</v>
      </c>
      <c r="H24" s="90">
        <v>22408</v>
      </c>
      <c r="I24" s="89" t="s">
        <v>172</v>
      </c>
      <c r="J24" s="89" t="s">
        <v>166</v>
      </c>
      <c r="K24" s="87" t="s">
        <v>167</v>
      </c>
    </row>
    <row r="25" spans="1:11" ht="15" customHeight="1" x14ac:dyDescent="0.2">
      <c r="A25" s="84" t="s">
        <v>182</v>
      </c>
      <c r="B25" s="85" t="s">
        <v>163</v>
      </c>
      <c r="C25" s="84">
        <v>8000</v>
      </c>
      <c r="F25" s="85" t="s">
        <v>164</v>
      </c>
      <c r="G25" s="85" t="s">
        <v>11</v>
      </c>
      <c r="H25" s="86">
        <v>103600</v>
      </c>
      <c r="I25" s="85" t="s">
        <v>165</v>
      </c>
      <c r="J25" s="85" t="s">
        <v>166</v>
      </c>
      <c r="K25" s="87" t="s">
        <v>167</v>
      </c>
    </row>
    <row r="26" spans="1:11" ht="15" customHeight="1" x14ac:dyDescent="0.2">
      <c r="A26" s="88" t="s">
        <v>182</v>
      </c>
      <c r="B26" s="89" t="s">
        <v>163</v>
      </c>
      <c r="C26" s="88">
        <v>4000</v>
      </c>
      <c r="F26" s="89" t="s">
        <v>31</v>
      </c>
      <c r="G26" s="89" t="s">
        <v>193</v>
      </c>
      <c r="H26" s="90">
        <v>35000</v>
      </c>
      <c r="I26" s="89" t="s">
        <v>169</v>
      </c>
      <c r="J26" s="89" t="s">
        <v>166</v>
      </c>
      <c r="K26" s="87" t="s">
        <v>167</v>
      </c>
    </row>
    <row r="27" spans="1:11" ht="15" customHeight="1" x14ac:dyDescent="0.2">
      <c r="A27" s="84" t="s">
        <v>182</v>
      </c>
      <c r="B27" s="85" t="s">
        <v>163</v>
      </c>
      <c r="C27" s="84">
        <v>4200</v>
      </c>
      <c r="F27" s="85" t="s">
        <v>194</v>
      </c>
      <c r="G27" s="85" t="s">
        <v>43</v>
      </c>
      <c r="H27" s="86">
        <v>23000</v>
      </c>
      <c r="I27" s="85" t="s">
        <v>195</v>
      </c>
      <c r="J27" s="85" t="s">
        <v>166</v>
      </c>
      <c r="K27" s="87" t="s">
        <v>167</v>
      </c>
    </row>
    <row r="28" spans="1:11" ht="15" customHeight="1" x14ac:dyDescent="0.2">
      <c r="A28" s="88" t="s">
        <v>182</v>
      </c>
      <c r="B28" s="89" t="s">
        <v>163</v>
      </c>
      <c r="C28" s="88">
        <v>4300</v>
      </c>
      <c r="F28" s="89" t="s">
        <v>196</v>
      </c>
      <c r="G28" s="89" t="s">
        <v>83</v>
      </c>
      <c r="H28" s="90">
        <v>23865</v>
      </c>
      <c r="I28" s="89" t="s">
        <v>172</v>
      </c>
      <c r="J28" s="89" t="s">
        <v>166</v>
      </c>
      <c r="K28" s="87" t="s">
        <v>167</v>
      </c>
    </row>
    <row r="29" spans="1:11" ht="15" customHeight="1" x14ac:dyDescent="0.2">
      <c r="A29" s="84" t="s">
        <v>183</v>
      </c>
      <c r="B29" s="85" t="s">
        <v>163</v>
      </c>
      <c r="C29" s="84">
        <v>8000</v>
      </c>
      <c r="F29" s="85" t="s">
        <v>164</v>
      </c>
      <c r="G29" s="85" t="s">
        <v>11</v>
      </c>
      <c r="H29" s="86">
        <v>101190</v>
      </c>
      <c r="I29" s="85" t="s">
        <v>165</v>
      </c>
      <c r="J29" s="85" t="s">
        <v>166</v>
      </c>
      <c r="K29" s="87" t="s">
        <v>167</v>
      </c>
    </row>
    <row r="30" spans="1:11" ht="15" customHeight="1" x14ac:dyDescent="0.2">
      <c r="A30" s="88" t="s">
        <v>183</v>
      </c>
      <c r="B30" s="89" t="s">
        <v>163</v>
      </c>
      <c r="C30" s="88">
        <v>4000</v>
      </c>
      <c r="F30" s="89" t="s">
        <v>31</v>
      </c>
      <c r="G30" s="89" t="s">
        <v>193</v>
      </c>
      <c r="H30" s="90">
        <v>34500</v>
      </c>
      <c r="I30" s="89" t="s">
        <v>169</v>
      </c>
      <c r="J30" s="89" t="s">
        <v>166</v>
      </c>
      <c r="K30" s="87" t="s">
        <v>167</v>
      </c>
    </row>
    <row r="31" spans="1:11" ht="15" customHeight="1" x14ac:dyDescent="0.2">
      <c r="A31" s="84" t="s">
        <v>183</v>
      </c>
      <c r="B31" s="85" t="s">
        <v>163</v>
      </c>
      <c r="C31" s="84">
        <v>4200</v>
      </c>
      <c r="F31" s="85" t="s">
        <v>194</v>
      </c>
      <c r="G31" s="85" t="s">
        <v>43</v>
      </c>
      <c r="H31" s="86">
        <v>22500</v>
      </c>
      <c r="I31" s="85" t="s">
        <v>195</v>
      </c>
      <c r="J31" s="85" t="s">
        <v>166</v>
      </c>
      <c r="K31" s="87" t="s">
        <v>167</v>
      </c>
    </row>
    <row r="32" spans="1:11" ht="15" customHeight="1" x14ac:dyDescent="0.2">
      <c r="A32" s="88" t="s">
        <v>183</v>
      </c>
      <c r="B32" s="89" t="s">
        <v>163</v>
      </c>
      <c r="C32" s="88">
        <v>4300</v>
      </c>
      <c r="F32" s="89" t="s">
        <v>196</v>
      </c>
      <c r="G32" s="89" t="s">
        <v>83</v>
      </c>
      <c r="H32" s="90">
        <v>23027</v>
      </c>
      <c r="I32" s="89" t="s">
        <v>172</v>
      </c>
      <c r="J32" s="89" t="s">
        <v>166</v>
      </c>
      <c r="K32" s="87" t="s">
        <v>167</v>
      </c>
    </row>
    <row r="33" spans="1:11" ht="15" customHeight="1" x14ac:dyDescent="0.2">
      <c r="A33" s="84" t="s">
        <v>184</v>
      </c>
      <c r="B33" s="85" t="s">
        <v>163</v>
      </c>
      <c r="C33" s="84">
        <v>8000</v>
      </c>
      <c r="F33" s="85" t="s">
        <v>164</v>
      </c>
      <c r="G33" s="85" t="s">
        <v>11</v>
      </c>
      <c r="H33" s="86">
        <v>104570</v>
      </c>
      <c r="I33" s="85" t="s">
        <v>165</v>
      </c>
      <c r="J33" s="85" t="s">
        <v>166</v>
      </c>
      <c r="K33" s="87" t="s">
        <v>167</v>
      </c>
    </row>
    <row r="34" spans="1:11" ht="15" customHeight="1" x14ac:dyDescent="0.2">
      <c r="A34" s="88" t="s">
        <v>184</v>
      </c>
      <c r="B34" s="89" t="s">
        <v>163</v>
      </c>
      <c r="C34" s="88">
        <v>4000</v>
      </c>
      <c r="F34" s="89" t="s">
        <v>31</v>
      </c>
      <c r="G34" s="89" t="s">
        <v>193</v>
      </c>
      <c r="H34" s="90">
        <v>35500</v>
      </c>
      <c r="I34" s="89" t="s">
        <v>169</v>
      </c>
      <c r="J34" s="89" t="s">
        <v>166</v>
      </c>
      <c r="K34" s="87" t="s">
        <v>167</v>
      </c>
    </row>
    <row r="35" spans="1:11" ht="15" customHeight="1" x14ac:dyDescent="0.2">
      <c r="A35" s="84" t="s">
        <v>184</v>
      </c>
      <c r="B35" s="85" t="s">
        <v>163</v>
      </c>
      <c r="C35" s="84">
        <v>4200</v>
      </c>
      <c r="F35" s="85" t="s">
        <v>194</v>
      </c>
      <c r="G35" s="85" t="s">
        <v>43</v>
      </c>
      <c r="H35" s="86">
        <v>23000</v>
      </c>
      <c r="I35" s="85" t="s">
        <v>195</v>
      </c>
      <c r="J35" s="85" t="s">
        <v>166</v>
      </c>
      <c r="K35" s="87" t="s">
        <v>167</v>
      </c>
    </row>
    <row r="36" spans="1:11" ht="15" customHeight="1" x14ac:dyDescent="0.2">
      <c r="A36" s="88" t="s">
        <v>184</v>
      </c>
      <c r="B36" s="89" t="s">
        <v>163</v>
      </c>
      <c r="C36" s="88">
        <v>4300</v>
      </c>
      <c r="F36" s="89" t="s">
        <v>196</v>
      </c>
      <c r="G36" s="89" t="s">
        <v>83</v>
      </c>
      <c r="H36" s="90">
        <v>24492</v>
      </c>
      <c r="I36" s="89" t="s">
        <v>172</v>
      </c>
      <c r="J36" s="89" t="s">
        <v>166</v>
      </c>
      <c r="K36" s="87" t="s">
        <v>167</v>
      </c>
    </row>
    <row r="37" spans="1:11" ht="15" customHeight="1" x14ac:dyDescent="0.2">
      <c r="A37" s="84" t="s">
        <v>177</v>
      </c>
      <c r="B37" s="85" t="s">
        <v>163</v>
      </c>
      <c r="C37" s="84">
        <v>8000</v>
      </c>
      <c r="F37" s="85" t="s">
        <v>164</v>
      </c>
      <c r="G37" s="85" t="s">
        <v>11</v>
      </c>
      <c r="H37" s="86">
        <v>107070</v>
      </c>
      <c r="I37" s="85" t="s">
        <v>165</v>
      </c>
      <c r="J37" s="85" t="s">
        <v>166</v>
      </c>
      <c r="K37" s="87" t="s">
        <v>167</v>
      </c>
    </row>
    <row r="38" spans="1:11" ht="15" customHeight="1" x14ac:dyDescent="0.2">
      <c r="A38" s="88" t="s">
        <v>177</v>
      </c>
      <c r="B38" s="89" t="s">
        <v>163</v>
      </c>
      <c r="C38" s="88">
        <v>4000</v>
      </c>
      <c r="F38" s="89" t="s">
        <v>31</v>
      </c>
      <c r="G38" s="89" t="s">
        <v>193</v>
      </c>
      <c r="H38" s="90">
        <v>36000</v>
      </c>
      <c r="I38" s="89" t="s">
        <v>169</v>
      </c>
      <c r="J38" s="89" t="s">
        <v>166</v>
      </c>
      <c r="K38" s="87" t="s">
        <v>167</v>
      </c>
    </row>
    <row r="39" spans="1:11" ht="15" customHeight="1" x14ac:dyDescent="0.2">
      <c r="A39" s="84" t="s">
        <v>177</v>
      </c>
      <c r="B39" s="85" t="s">
        <v>163</v>
      </c>
      <c r="C39" s="84">
        <v>4200</v>
      </c>
      <c r="F39" s="85" t="s">
        <v>194</v>
      </c>
      <c r="G39" s="85" t="s">
        <v>43</v>
      </c>
      <c r="H39" s="86">
        <v>23500</v>
      </c>
      <c r="I39" s="85" t="s">
        <v>195</v>
      </c>
      <c r="J39" s="85" t="s">
        <v>166</v>
      </c>
      <c r="K39" s="87" t="s">
        <v>167</v>
      </c>
    </row>
    <row r="40" spans="1:11" ht="15" customHeight="1" x14ac:dyDescent="0.2">
      <c r="A40" s="88" t="s">
        <v>177</v>
      </c>
      <c r="B40" s="89" t="s">
        <v>163</v>
      </c>
      <c r="C40" s="88">
        <v>4300</v>
      </c>
      <c r="F40" s="89" t="s">
        <v>196</v>
      </c>
      <c r="G40" s="89" t="s">
        <v>83</v>
      </c>
      <c r="H40" s="90">
        <v>25460</v>
      </c>
      <c r="I40" s="89" t="s">
        <v>172</v>
      </c>
      <c r="J40" s="89" t="s">
        <v>166</v>
      </c>
      <c r="K40" s="87" t="s">
        <v>167</v>
      </c>
    </row>
    <row r="41" spans="1:11" ht="15" customHeight="1" x14ac:dyDescent="0.2">
      <c r="A41" s="9" t="s">
        <v>197</v>
      </c>
      <c r="B41" s="9"/>
      <c r="C41" s="9"/>
      <c r="D41" s="9"/>
      <c r="E41" s="9"/>
      <c r="H41" s="91">
        <f>SUM(F5:F40)</f>
        <v>0</v>
      </c>
    </row>
  </sheetData>
  <mergeCells count="3">
    <mergeCell ref="A1:I1"/>
    <mergeCell ref="A2:I2"/>
    <mergeCell ref="A41:E4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J18"/>
  <sheetViews>
    <sheetView showGridLines="0" zoomScaleNormal="100" workbookViewId="0">
      <pane ySplit="5" topLeftCell="A6" activePane="bottomLeft" state="frozen"/>
      <selection pane="bottomLeft" sqref="A1:J1"/>
    </sheetView>
  </sheetViews>
  <sheetFormatPr baseColWidth="10" defaultColWidth="8.6640625" defaultRowHeight="15" x14ac:dyDescent="0.2"/>
  <cols>
    <col min="1" max="1" width="8" customWidth="1"/>
    <col min="2" max="2" width="20" customWidth="1"/>
    <col min="3" max="3" width="22" customWidth="1"/>
    <col min="4" max="5" width="14" customWidth="1"/>
    <col min="6" max="6" width="16" customWidth="1"/>
    <col min="7" max="7" width="12" customWidth="1"/>
    <col min="8" max="8" width="10" customWidth="1"/>
    <col min="9" max="10" width="16" customWidth="1"/>
  </cols>
  <sheetData>
    <row r="1" spans="1:10" ht="45" customHeight="1" x14ac:dyDescent="0.2">
      <c r="A1" s="11" t="s">
        <v>198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 customHeight="1" x14ac:dyDescent="0.2">
      <c r="A2" s="10" t="s">
        <v>199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21.75" customHeight="1" x14ac:dyDescent="0.2">
      <c r="A4" s="83" t="s">
        <v>200</v>
      </c>
      <c r="B4" s="83" t="s">
        <v>201</v>
      </c>
      <c r="C4" s="83" t="s">
        <v>150</v>
      </c>
      <c r="D4" s="83" t="s">
        <v>159</v>
      </c>
      <c r="E4" s="83" t="s">
        <v>202</v>
      </c>
      <c r="F4" s="83" t="s">
        <v>203</v>
      </c>
      <c r="G4" s="83" t="s">
        <v>204</v>
      </c>
      <c r="H4" s="83" t="s">
        <v>205</v>
      </c>
      <c r="I4" s="83" t="s">
        <v>206</v>
      </c>
      <c r="J4" s="83" t="s">
        <v>207</v>
      </c>
    </row>
    <row r="5" spans="1:10" ht="15" customHeight="1" x14ac:dyDescent="0.2">
      <c r="A5" s="92" t="s">
        <v>208</v>
      </c>
      <c r="B5" s="93" t="s">
        <v>209</v>
      </c>
      <c r="C5" s="94" t="s">
        <v>163</v>
      </c>
      <c r="D5" s="84" t="s">
        <v>171</v>
      </c>
      <c r="E5" s="84" t="s">
        <v>210</v>
      </c>
      <c r="F5" s="95">
        <v>5200</v>
      </c>
      <c r="G5" s="84">
        <v>160</v>
      </c>
      <c r="H5" s="96">
        <f t="shared" ref="H5:H10" si="0">F5/G5</f>
        <v>32.5</v>
      </c>
      <c r="I5" s="97">
        <f t="shared" ref="I5:I10" si="1">F5*0.2</f>
        <v>1040</v>
      </c>
      <c r="J5" s="98">
        <f t="shared" ref="J5:J10" si="2">F5+I5</f>
        <v>6240</v>
      </c>
    </row>
    <row r="6" spans="1:10" ht="15" customHeight="1" x14ac:dyDescent="0.2">
      <c r="A6" s="99" t="s">
        <v>211</v>
      </c>
      <c r="B6" s="100" t="s">
        <v>212</v>
      </c>
      <c r="C6" s="101" t="s">
        <v>163</v>
      </c>
      <c r="D6" s="88" t="s">
        <v>171</v>
      </c>
      <c r="E6" s="88" t="s">
        <v>213</v>
      </c>
      <c r="F6" s="102">
        <v>4300</v>
      </c>
      <c r="G6" s="88">
        <v>160</v>
      </c>
      <c r="H6" s="103">
        <f t="shared" si="0"/>
        <v>26.875</v>
      </c>
      <c r="I6" s="104">
        <f t="shared" si="1"/>
        <v>860</v>
      </c>
      <c r="J6" s="98">
        <f t="shared" si="2"/>
        <v>5160</v>
      </c>
    </row>
    <row r="7" spans="1:10" ht="15" customHeight="1" x14ac:dyDescent="0.2">
      <c r="A7" s="92" t="s">
        <v>214</v>
      </c>
      <c r="B7" s="93" t="s">
        <v>215</v>
      </c>
      <c r="C7" s="94" t="s">
        <v>163</v>
      </c>
      <c r="D7" s="84" t="s">
        <v>216</v>
      </c>
      <c r="E7" s="84" t="s">
        <v>217</v>
      </c>
      <c r="F7" s="95">
        <v>6100</v>
      </c>
      <c r="G7" s="84">
        <v>168</v>
      </c>
      <c r="H7" s="96">
        <f t="shared" si="0"/>
        <v>36.30952380952381</v>
      </c>
      <c r="I7" s="97">
        <f t="shared" si="1"/>
        <v>1220</v>
      </c>
      <c r="J7" s="98">
        <f t="shared" si="2"/>
        <v>7320</v>
      </c>
    </row>
    <row r="8" spans="1:10" ht="15" customHeight="1" x14ac:dyDescent="0.2">
      <c r="A8" s="99" t="s">
        <v>218</v>
      </c>
      <c r="B8" s="100" t="s">
        <v>219</v>
      </c>
      <c r="C8" s="101" t="s">
        <v>163</v>
      </c>
      <c r="D8" s="88" t="s">
        <v>174</v>
      </c>
      <c r="E8" s="88" t="s">
        <v>220</v>
      </c>
      <c r="F8" s="102">
        <v>4800</v>
      </c>
      <c r="G8" s="88">
        <v>160</v>
      </c>
      <c r="H8" s="103">
        <f t="shared" si="0"/>
        <v>30</v>
      </c>
      <c r="I8" s="104">
        <f t="shared" si="1"/>
        <v>960</v>
      </c>
      <c r="J8" s="98">
        <f t="shared" si="2"/>
        <v>5760</v>
      </c>
    </row>
    <row r="9" spans="1:10" ht="15" customHeight="1" x14ac:dyDescent="0.2">
      <c r="A9" s="92" t="s">
        <v>221</v>
      </c>
      <c r="B9" s="93" t="s">
        <v>222</v>
      </c>
      <c r="C9" s="94" t="s">
        <v>178</v>
      </c>
      <c r="D9" s="84" t="s">
        <v>165</v>
      </c>
      <c r="E9" s="84" t="s">
        <v>223</v>
      </c>
      <c r="F9" s="95">
        <v>4900</v>
      </c>
      <c r="G9" s="84">
        <v>172</v>
      </c>
      <c r="H9" s="96">
        <f t="shared" si="0"/>
        <v>28.488372093023255</v>
      </c>
      <c r="I9" s="97">
        <f t="shared" si="1"/>
        <v>980</v>
      </c>
      <c r="J9" s="98">
        <f t="shared" si="2"/>
        <v>5880</v>
      </c>
    </row>
    <row r="10" spans="1:10" ht="15" customHeight="1" x14ac:dyDescent="0.2">
      <c r="A10" s="99" t="s">
        <v>224</v>
      </c>
      <c r="B10" s="100" t="s">
        <v>225</v>
      </c>
      <c r="C10" s="101" t="s">
        <v>226</v>
      </c>
      <c r="D10" s="88" t="s">
        <v>227</v>
      </c>
      <c r="E10" s="88" t="s">
        <v>228</v>
      </c>
      <c r="F10" s="102">
        <v>5500</v>
      </c>
      <c r="G10" s="88">
        <v>160</v>
      </c>
      <c r="H10" s="103">
        <f t="shared" si="0"/>
        <v>34.375</v>
      </c>
      <c r="I10" s="104">
        <f t="shared" si="1"/>
        <v>1100</v>
      </c>
      <c r="J10" s="98">
        <f t="shared" si="2"/>
        <v>6600</v>
      </c>
    </row>
    <row r="11" spans="1:10" ht="15" customHeight="1" x14ac:dyDescent="0.2">
      <c r="A11" s="8" t="s">
        <v>229</v>
      </c>
      <c r="B11" s="8"/>
      <c r="C11" s="8"/>
      <c r="D11" s="8"/>
      <c r="E11" s="8"/>
      <c r="F11" s="106">
        <f>SUM(F5:F10)</f>
        <v>30800</v>
      </c>
      <c r="I11" s="106">
        <f>SUM(I5:I10)</f>
        <v>6160</v>
      </c>
      <c r="J11" s="106">
        <f>SUM(J5:J10)</f>
        <v>36960</v>
      </c>
    </row>
    <row r="13" spans="1:10" ht="15" customHeight="1" x14ac:dyDescent="0.2">
      <c r="A13" s="7" t="s">
        <v>230</v>
      </c>
      <c r="B13" s="7"/>
      <c r="C13" s="7"/>
      <c r="D13" s="7"/>
      <c r="E13" s="7"/>
      <c r="F13" s="7"/>
      <c r="G13" s="7"/>
      <c r="H13" s="7"/>
      <c r="I13" s="7"/>
      <c r="J13" s="7"/>
    </row>
    <row r="14" spans="1:10" ht="15" customHeight="1" x14ac:dyDescent="0.2">
      <c r="A14" s="107" t="s">
        <v>171</v>
      </c>
      <c r="B14" s="88">
        <v>2</v>
      </c>
      <c r="C14" s="102">
        <v>9500</v>
      </c>
      <c r="D14" s="108">
        <v>30.8441558441559</v>
      </c>
    </row>
    <row r="15" spans="1:10" ht="15" customHeight="1" x14ac:dyDescent="0.2">
      <c r="A15" s="109" t="s">
        <v>216</v>
      </c>
      <c r="B15" s="84">
        <v>1</v>
      </c>
      <c r="C15" s="95">
        <v>6100</v>
      </c>
      <c r="D15" s="110">
        <v>19.805194805194802</v>
      </c>
    </row>
    <row r="16" spans="1:10" ht="15" customHeight="1" x14ac:dyDescent="0.2">
      <c r="A16" s="107" t="s">
        <v>174</v>
      </c>
      <c r="B16" s="88">
        <v>1</v>
      </c>
      <c r="C16" s="102">
        <v>4800</v>
      </c>
      <c r="D16" s="108">
        <v>15.5844155844156</v>
      </c>
    </row>
    <row r="17" spans="1:4" ht="15" customHeight="1" x14ac:dyDescent="0.2">
      <c r="A17" s="109" t="s">
        <v>165</v>
      </c>
      <c r="B17" s="84">
        <v>1</v>
      </c>
      <c r="C17" s="95">
        <v>4900</v>
      </c>
      <c r="D17" s="110">
        <v>15.909090909090899</v>
      </c>
    </row>
    <row r="18" spans="1:4" ht="15" customHeight="1" x14ac:dyDescent="0.2">
      <c r="A18" s="107" t="s">
        <v>227</v>
      </c>
      <c r="B18" s="88">
        <v>1</v>
      </c>
      <c r="C18" s="102">
        <v>5500</v>
      </c>
      <c r="D18" s="108">
        <v>17.8571428571429</v>
      </c>
    </row>
  </sheetData>
  <mergeCells count="4">
    <mergeCell ref="A1:J1"/>
    <mergeCell ref="A2:J2"/>
    <mergeCell ref="A11:E11"/>
    <mergeCell ref="A13:J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N18"/>
  <sheetViews>
    <sheetView showGridLines="0" tabSelected="1" zoomScaleNormal="100" workbookViewId="0">
      <pane ySplit="7" topLeftCell="A8" activePane="bottomLeft" state="frozen"/>
      <selection pane="bottomLeft" sqref="A1:N1"/>
    </sheetView>
  </sheetViews>
  <sheetFormatPr baseColWidth="10" defaultColWidth="8.6640625" defaultRowHeight="15" x14ac:dyDescent="0.2"/>
  <cols>
    <col min="1" max="1" width="7" customWidth="1"/>
    <col min="2" max="3" width="13" customWidth="1"/>
    <col min="4" max="4" width="9" customWidth="1"/>
    <col min="5" max="5" width="14" customWidth="1"/>
    <col min="6" max="6" width="13" customWidth="1"/>
    <col min="7" max="7" width="12" customWidth="1"/>
    <col min="8" max="8" width="13" customWidth="1"/>
    <col min="9" max="9" width="11" customWidth="1"/>
    <col min="10" max="11" width="13" customWidth="1"/>
    <col min="12" max="12" width="12" customWidth="1"/>
    <col min="13" max="13" width="13" customWidth="1"/>
    <col min="14" max="14" width="14" customWidth="1"/>
  </cols>
  <sheetData>
    <row r="1" spans="1:14" ht="54.75" customHeight="1" x14ac:dyDescent="0.2">
      <c r="A1" s="6" t="s">
        <v>231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" customHeight="1" x14ac:dyDescent="0.2">
      <c r="A2" s="5" t="s">
        <v>232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spans="1:14" ht="13.5" customHeight="1" x14ac:dyDescent="0.2">
      <c r="A4" s="4" t="s">
        <v>233</v>
      </c>
      <c r="B4" s="4"/>
      <c r="C4" s="3" t="s">
        <v>234</v>
      </c>
      <c r="D4" s="3"/>
      <c r="E4" s="2" t="s">
        <v>235</v>
      </c>
      <c r="F4" s="2"/>
      <c r="G4" s="1" t="s">
        <v>236</v>
      </c>
      <c r="H4" s="1"/>
      <c r="I4" s="294" t="s">
        <v>237</v>
      </c>
      <c r="J4" s="294"/>
      <c r="K4" s="295" t="s">
        <v>238</v>
      </c>
      <c r="L4" s="295"/>
      <c r="M4" s="2" t="s">
        <v>239</v>
      </c>
      <c r="N4" s="2"/>
    </row>
    <row r="5" spans="1:14" ht="27.75" customHeight="1" x14ac:dyDescent="0.2">
      <c r="A5" s="296" t="s">
        <v>240</v>
      </c>
      <c r="B5" s="296"/>
      <c r="C5" s="297" t="s">
        <v>241</v>
      </c>
      <c r="D5" s="297"/>
      <c r="E5" s="298" t="s">
        <v>242</v>
      </c>
      <c r="F5" s="298"/>
      <c r="G5" s="299" t="s">
        <v>243</v>
      </c>
      <c r="H5" s="299"/>
      <c r="I5" s="300" t="s">
        <v>244</v>
      </c>
      <c r="J5" s="300"/>
      <c r="K5" s="6" t="s">
        <v>245</v>
      </c>
      <c r="L5" s="6"/>
      <c r="M5" s="298" t="s">
        <v>246</v>
      </c>
      <c r="N5" s="298"/>
    </row>
    <row r="6" spans="1:14" ht="24" customHeight="1" x14ac:dyDescent="0.2">
      <c r="A6" s="301" t="s">
        <v>247</v>
      </c>
      <c r="B6" s="301"/>
      <c r="C6" s="302" t="s">
        <v>247</v>
      </c>
      <c r="D6" s="302"/>
      <c r="E6" s="303" t="s">
        <v>247</v>
      </c>
      <c r="F6" s="303"/>
      <c r="G6" s="304" t="s">
        <v>248</v>
      </c>
      <c r="H6" s="304"/>
      <c r="I6" s="305" t="s">
        <v>249</v>
      </c>
      <c r="J6" s="305"/>
      <c r="K6" s="306" t="s">
        <v>250</v>
      </c>
      <c r="L6" s="306"/>
      <c r="M6" s="303" t="s">
        <v>251</v>
      </c>
      <c r="N6" s="303"/>
    </row>
    <row r="8" spans="1:14" ht="21.75" customHeight="1" x14ac:dyDescent="0.2">
      <c r="A8" s="83" t="s">
        <v>190</v>
      </c>
      <c r="B8" s="83" t="s">
        <v>11</v>
      </c>
      <c r="C8" s="83" t="s">
        <v>252</v>
      </c>
      <c r="D8" s="83" t="s">
        <v>253</v>
      </c>
      <c r="E8" s="83" t="s">
        <v>31</v>
      </c>
      <c r="F8" s="83" t="s">
        <v>254</v>
      </c>
      <c r="G8" s="83" t="s">
        <v>255</v>
      </c>
      <c r="H8" s="83" t="s">
        <v>43</v>
      </c>
      <c r="I8" s="83" t="s">
        <v>256</v>
      </c>
      <c r="J8" s="83" t="s">
        <v>83</v>
      </c>
      <c r="K8" s="83" t="s">
        <v>257</v>
      </c>
      <c r="L8" s="83" t="s">
        <v>258</v>
      </c>
      <c r="M8" s="83" t="s">
        <v>259</v>
      </c>
      <c r="N8" s="83" t="s">
        <v>260</v>
      </c>
    </row>
    <row r="9" spans="1:14" ht="15" customHeight="1" x14ac:dyDescent="0.2">
      <c r="A9" s="84" t="s">
        <v>261</v>
      </c>
      <c r="B9" s="86">
        <v>92300</v>
      </c>
      <c r="C9" s="111">
        <v>84916</v>
      </c>
      <c r="D9" s="112">
        <f t="shared" ref="D9:D18" si="0">(B9-C9)/C9*100</f>
        <v>8.695652173913043</v>
      </c>
      <c r="E9" s="86">
        <v>31000</v>
      </c>
      <c r="F9" s="86">
        <v>61300</v>
      </c>
      <c r="G9" s="113">
        <f t="shared" ref="G9:G18" si="1">F9/B9*100</f>
        <v>66.413867822318522</v>
      </c>
      <c r="H9" s="86">
        <v>22000</v>
      </c>
      <c r="I9" s="113">
        <f t="shared" ref="I9:I18" si="2">H9/B9*100</f>
        <v>23.835319609967499</v>
      </c>
      <c r="J9" s="86">
        <v>17270</v>
      </c>
      <c r="K9" s="114">
        <v>22030</v>
      </c>
      <c r="L9" s="113">
        <f t="shared" ref="L9:L18" si="3">K9/B9*100</f>
        <v>23.867822318526542</v>
      </c>
      <c r="M9" s="110">
        <v>128</v>
      </c>
      <c r="N9" s="84">
        <v>38</v>
      </c>
    </row>
    <row r="10" spans="1:14" ht="15" customHeight="1" x14ac:dyDescent="0.2">
      <c r="A10" s="88" t="s">
        <v>262</v>
      </c>
      <c r="B10" s="90">
        <v>95550</v>
      </c>
      <c r="C10" s="115">
        <v>87906</v>
      </c>
      <c r="D10" s="116">
        <f t="shared" si="0"/>
        <v>8.695652173913043</v>
      </c>
      <c r="E10" s="90">
        <v>32000</v>
      </c>
      <c r="F10" s="90">
        <v>63550</v>
      </c>
      <c r="G10" s="117">
        <f t="shared" si="1"/>
        <v>66.50968079539507</v>
      </c>
      <c r="H10" s="90">
        <v>22000</v>
      </c>
      <c r="I10" s="117">
        <f t="shared" si="2"/>
        <v>23.024594453165882</v>
      </c>
      <c r="J10" s="90">
        <v>19465</v>
      </c>
      <c r="K10" s="118">
        <v>22085</v>
      </c>
      <c r="L10" s="117">
        <f t="shared" si="3"/>
        <v>23.113553113553113</v>
      </c>
      <c r="M10" s="108">
        <v>132</v>
      </c>
      <c r="N10" s="88">
        <v>39</v>
      </c>
    </row>
    <row r="11" spans="1:14" ht="15" customHeight="1" x14ac:dyDescent="0.2">
      <c r="A11" s="84" t="s">
        <v>263</v>
      </c>
      <c r="B11" s="86">
        <v>100100</v>
      </c>
      <c r="C11" s="111">
        <v>92092</v>
      </c>
      <c r="D11" s="112">
        <f t="shared" si="0"/>
        <v>8.695652173913043</v>
      </c>
      <c r="E11" s="86">
        <v>33500</v>
      </c>
      <c r="F11" s="86">
        <v>66600</v>
      </c>
      <c r="G11" s="113">
        <f t="shared" si="1"/>
        <v>66.533466533466537</v>
      </c>
      <c r="H11" s="86">
        <v>22500</v>
      </c>
      <c r="I11" s="113">
        <f t="shared" si="2"/>
        <v>22.477522477522477</v>
      </c>
      <c r="J11" s="86">
        <v>22930</v>
      </c>
      <c r="K11" s="114">
        <v>21170</v>
      </c>
      <c r="L11" s="113">
        <f t="shared" si="3"/>
        <v>21.148851148851151</v>
      </c>
      <c r="M11" s="110">
        <v>135</v>
      </c>
      <c r="N11" s="84">
        <v>40</v>
      </c>
    </row>
    <row r="12" spans="1:14" ht="15" customHeight="1" x14ac:dyDescent="0.2">
      <c r="A12" s="88" t="s">
        <v>264</v>
      </c>
      <c r="B12" s="90">
        <v>93780</v>
      </c>
      <c r="C12" s="115">
        <v>86278</v>
      </c>
      <c r="D12" s="116">
        <f t="shared" si="0"/>
        <v>8.6951482417302195</v>
      </c>
      <c r="E12" s="90">
        <v>32000</v>
      </c>
      <c r="F12" s="90">
        <v>61780</v>
      </c>
      <c r="G12" s="117">
        <f t="shared" si="1"/>
        <v>65.877585839198133</v>
      </c>
      <c r="H12" s="90">
        <v>22000</v>
      </c>
      <c r="I12" s="117">
        <f t="shared" si="2"/>
        <v>23.459159735551292</v>
      </c>
      <c r="J12" s="90">
        <v>18432</v>
      </c>
      <c r="K12" s="118">
        <v>21348</v>
      </c>
      <c r="L12" s="117">
        <f t="shared" si="3"/>
        <v>22.763915547024951</v>
      </c>
      <c r="M12" s="108">
        <v>136</v>
      </c>
      <c r="N12" s="88">
        <v>40</v>
      </c>
    </row>
    <row r="13" spans="1:14" ht="15" customHeight="1" x14ac:dyDescent="0.2">
      <c r="A13" s="84" t="s">
        <v>265</v>
      </c>
      <c r="B13" s="86">
        <v>100300</v>
      </c>
      <c r="C13" s="111">
        <v>92276</v>
      </c>
      <c r="D13" s="112">
        <f t="shared" si="0"/>
        <v>8.695652173913043</v>
      </c>
      <c r="E13" s="86">
        <v>34000</v>
      </c>
      <c r="F13" s="86">
        <v>66300</v>
      </c>
      <c r="G13" s="113">
        <f t="shared" si="1"/>
        <v>66.101694915254242</v>
      </c>
      <c r="H13" s="86">
        <v>22500</v>
      </c>
      <c r="I13" s="113">
        <f t="shared" si="2"/>
        <v>22.432701894317049</v>
      </c>
      <c r="J13" s="86">
        <v>22408</v>
      </c>
      <c r="K13" s="114">
        <v>21392</v>
      </c>
      <c r="L13" s="113">
        <f t="shared" si="3"/>
        <v>21.32801595214357</v>
      </c>
      <c r="M13" s="110">
        <v>139</v>
      </c>
      <c r="N13" s="84">
        <v>41</v>
      </c>
    </row>
    <row r="14" spans="1:14" ht="15" customHeight="1" x14ac:dyDescent="0.2">
      <c r="A14" s="88" t="s">
        <v>266</v>
      </c>
      <c r="B14" s="90">
        <v>103600</v>
      </c>
      <c r="C14" s="115">
        <v>95312</v>
      </c>
      <c r="D14" s="116">
        <f t="shared" si="0"/>
        <v>8.695652173913043</v>
      </c>
      <c r="E14" s="90">
        <v>35000</v>
      </c>
      <c r="F14" s="90">
        <v>68600</v>
      </c>
      <c r="G14" s="117">
        <f t="shared" si="1"/>
        <v>66.21621621621621</v>
      </c>
      <c r="H14" s="90">
        <v>23000</v>
      </c>
      <c r="I14" s="117">
        <f t="shared" si="2"/>
        <v>22.200772200772199</v>
      </c>
      <c r="J14" s="90">
        <v>23865</v>
      </c>
      <c r="K14" s="118">
        <v>21735</v>
      </c>
      <c r="L14" s="117">
        <f t="shared" si="3"/>
        <v>20.97972972972973</v>
      </c>
      <c r="M14" s="108">
        <v>141</v>
      </c>
      <c r="N14" s="88">
        <v>42</v>
      </c>
    </row>
    <row r="15" spans="1:14" ht="15" customHeight="1" x14ac:dyDescent="0.2">
      <c r="A15" s="84" t="s">
        <v>267</v>
      </c>
      <c r="B15" s="86">
        <v>101190</v>
      </c>
      <c r="C15" s="111">
        <v>93095</v>
      </c>
      <c r="D15" s="112">
        <f t="shared" si="0"/>
        <v>8.6954186583597401</v>
      </c>
      <c r="E15" s="86">
        <v>34500</v>
      </c>
      <c r="F15" s="86">
        <v>66690</v>
      </c>
      <c r="G15" s="113">
        <f t="shared" si="1"/>
        <v>65.905721909279563</v>
      </c>
      <c r="H15" s="86">
        <v>22500</v>
      </c>
      <c r="I15" s="113">
        <f t="shared" si="2"/>
        <v>22.23539875481767</v>
      </c>
      <c r="J15" s="86">
        <v>23027</v>
      </c>
      <c r="K15" s="114">
        <v>21163</v>
      </c>
      <c r="L15" s="113">
        <f t="shared" si="3"/>
        <v>20.914121948809168</v>
      </c>
      <c r="M15" s="110">
        <v>143</v>
      </c>
      <c r="N15" s="84">
        <v>42</v>
      </c>
    </row>
    <row r="16" spans="1:14" ht="15" customHeight="1" x14ac:dyDescent="0.2">
      <c r="A16" s="88" t="s">
        <v>268</v>
      </c>
      <c r="B16" s="90">
        <v>104570</v>
      </c>
      <c r="C16" s="115">
        <v>96204</v>
      </c>
      <c r="D16" s="116">
        <f t="shared" si="0"/>
        <v>8.6961041120951315</v>
      </c>
      <c r="E16" s="90">
        <v>35500</v>
      </c>
      <c r="F16" s="90">
        <v>69070</v>
      </c>
      <c r="G16" s="117">
        <f t="shared" si="1"/>
        <v>66.051448790284013</v>
      </c>
      <c r="H16" s="90">
        <v>23000</v>
      </c>
      <c r="I16" s="117">
        <f t="shared" si="2"/>
        <v>21.994835995027255</v>
      </c>
      <c r="J16" s="90">
        <v>24492</v>
      </c>
      <c r="K16" s="118">
        <v>21578</v>
      </c>
      <c r="L16" s="117">
        <f t="shared" si="3"/>
        <v>20.634981352204264</v>
      </c>
      <c r="M16" s="108">
        <v>145</v>
      </c>
      <c r="N16" s="88">
        <v>43</v>
      </c>
    </row>
    <row r="17" spans="1:14" ht="15" customHeight="1" x14ac:dyDescent="0.2">
      <c r="A17" s="119" t="s">
        <v>269</v>
      </c>
      <c r="B17" s="120">
        <v>107070</v>
      </c>
      <c r="C17" s="121">
        <v>98504</v>
      </c>
      <c r="D17" s="122">
        <f t="shared" si="0"/>
        <v>8.6960935596524003</v>
      </c>
      <c r="E17" s="123">
        <v>36000</v>
      </c>
      <c r="F17" s="120">
        <v>71070</v>
      </c>
      <c r="G17" s="124">
        <f t="shared" si="1"/>
        <v>66.377136452787894</v>
      </c>
      <c r="H17" s="123">
        <v>23500</v>
      </c>
      <c r="I17" s="124">
        <f t="shared" si="2"/>
        <v>21.948258148874569</v>
      </c>
      <c r="J17" s="123">
        <v>25460</v>
      </c>
      <c r="K17" s="125">
        <v>22110</v>
      </c>
      <c r="L17" s="124">
        <f t="shared" si="3"/>
        <v>20.650042028579435</v>
      </c>
      <c r="M17" s="126">
        <v>147</v>
      </c>
      <c r="N17" s="127">
        <v>44</v>
      </c>
    </row>
    <row r="18" spans="1:14" ht="15" customHeight="1" x14ac:dyDescent="0.2">
      <c r="A18" s="105" t="s">
        <v>270</v>
      </c>
      <c r="B18" s="106">
        <f>SUM(B9:B17)</f>
        <v>898460</v>
      </c>
      <c r="C18" s="106">
        <f>SUM(C9:C17)</f>
        <v>826583</v>
      </c>
      <c r="D18" s="128">
        <f t="shared" si="0"/>
        <v>8.6956784739100605</v>
      </c>
      <c r="E18" s="106">
        <f>SUM(E9:E17)</f>
        <v>303500</v>
      </c>
      <c r="F18" s="106">
        <f>SUM(F9:F17)</f>
        <v>594960</v>
      </c>
      <c r="G18" s="128">
        <f t="shared" si="1"/>
        <v>66.219976404069186</v>
      </c>
      <c r="H18" s="106">
        <f>SUM(H9:H17)</f>
        <v>203000</v>
      </c>
      <c r="I18" s="128">
        <f t="shared" si="2"/>
        <v>22.594216770919129</v>
      </c>
      <c r="J18" s="106">
        <f>SUM(J9:J17)</f>
        <v>197349</v>
      </c>
      <c r="K18" s="106">
        <f>SUM(K9:K17)</f>
        <v>194611</v>
      </c>
      <c r="L18" s="128">
        <f t="shared" si="3"/>
        <v>21.660507980321881</v>
      </c>
      <c r="M18" s="128">
        <f>AVERAGE(M9:M17)</f>
        <v>138.44444444444446</v>
      </c>
      <c r="N18" s="129">
        <f>AVERAGE(N9:N17)</f>
        <v>41</v>
      </c>
    </row>
  </sheetData>
  <mergeCells count="23"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5:B5"/>
    <mergeCell ref="C5:D5"/>
    <mergeCell ref="E5:F5"/>
    <mergeCell ref="G5:H5"/>
    <mergeCell ref="I5:J5"/>
    <mergeCell ref="A1:N1"/>
    <mergeCell ref="A2:N2"/>
    <mergeCell ref="A4:B4"/>
    <mergeCell ref="C4:D4"/>
    <mergeCell ref="E4:F4"/>
    <mergeCell ref="G4:H4"/>
    <mergeCell ref="I4:J4"/>
    <mergeCell ref="K4:L4"/>
    <mergeCell ref="M4:N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H16"/>
  <sheetViews>
    <sheetView showGridLines="0" zoomScaleNormal="100" workbookViewId="0">
      <pane ySplit="5" topLeftCell="A6" activePane="bottomLeft" state="frozen"/>
      <selection pane="bottomLeft" sqref="A1:H1"/>
    </sheetView>
  </sheetViews>
  <sheetFormatPr baseColWidth="10" defaultColWidth="8.6640625" defaultRowHeight="15" x14ac:dyDescent="0.2"/>
  <cols>
    <col min="1" max="1" width="26" customWidth="1"/>
    <col min="2" max="2" width="14" customWidth="1"/>
    <col min="3" max="3" width="12" customWidth="1"/>
    <col min="4" max="4" width="13" customWidth="1"/>
    <col min="5" max="5" width="11" customWidth="1"/>
    <col min="6" max="6" width="12" customWidth="1"/>
    <col min="7" max="7" width="8" customWidth="1"/>
    <col min="8" max="8" width="55" customWidth="1"/>
  </cols>
  <sheetData>
    <row r="1" spans="1:8" ht="49.5" customHeight="1" x14ac:dyDescent="0.2">
      <c r="A1" s="11" t="s">
        <v>271</v>
      </c>
      <c r="B1" s="11"/>
      <c r="C1" s="11"/>
      <c r="D1" s="11"/>
      <c r="E1" s="11"/>
      <c r="F1" s="11"/>
      <c r="G1" s="11"/>
      <c r="H1" s="11"/>
    </row>
    <row r="3" spans="1:8" ht="21.75" customHeight="1" x14ac:dyDescent="0.2">
      <c r="A3" s="83" t="s">
        <v>272</v>
      </c>
      <c r="B3" s="83" t="s">
        <v>273</v>
      </c>
      <c r="C3" s="83" t="s">
        <v>274</v>
      </c>
      <c r="D3" s="83" t="s">
        <v>275</v>
      </c>
      <c r="E3" s="83" t="s">
        <v>276</v>
      </c>
      <c r="F3" s="83" t="s">
        <v>277</v>
      </c>
      <c r="G3" s="83" t="s">
        <v>278</v>
      </c>
      <c r="H3" s="83" t="s">
        <v>279</v>
      </c>
    </row>
    <row r="4" spans="1:8" ht="25.5" customHeight="1" x14ac:dyDescent="0.2">
      <c r="A4" s="100" t="s">
        <v>280</v>
      </c>
      <c r="B4" s="130">
        <v>67.099999999999994</v>
      </c>
      <c r="C4" s="131">
        <v>64.2</v>
      </c>
      <c r="D4" s="132">
        <f t="shared" ref="D4:D15" si="0">B4-C4</f>
        <v>2.8999999999999915</v>
      </c>
      <c r="E4" s="116">
        <f t="shared" ref="E4:E15" si="1">(B4-C4)/C4*100</f>
        <v>4.5171339563862798</v>
      </c>
      <c r="F4" s="131">
        <v>65</v>
      </c>
      <c r="G4" s="133" t="s">
        <v>281</v>
      </c>
      <c r="H4" s="134" t="s">
        <v>282</v>
      </c>
    </row>
    <row r="5" spans="1:8" ht="25.5" customHeight="1" x14ac:dyDescent="0.2">
      <c r="A5" s="93" t="s">
        <v>283</v>
      </c>
      <c r="B5" s="130">
        <v>25.8</v>
      </c>
      <c r="C5" s="135">
        <v>22.1</v>
      </c>
      <c r="D5" s="132">
        <f t="shared" si="0"/>
        <v>3.6999999999999993</v>
      </c>
      <c r="E5" s="112">
        <f t="shared" si="1"/>
        <v>16.742081447963798</v>
      </c>
      <c r="F5" s="135">
        <v>18</v>
      </c>
      <c r="G5" s="133" t="s">
        <v>281</v>
      </c>
      <c r="H5" s="136" t="s">
        <v>284</v>
      </c>
    </row>
    <row r="6" spans="1:8" ht="25.5" customHeight="1" x14ac:dyDescent="0.2">
      <c r="A6" s="100" t="s">
        <v>285</v>
      </c>
      <c r="B6" s="130">
        <v>147.4</v>
      </c>
      <c r="C6" s="131">
        <v>131</v>
      </c>
      <c r="D6" s="132">
        <f t="shared" si="0"/>
        <v>16.400000000000006</v>
      </c>
      <c r="E6" s="116">
        <f t="shared" si="1"/>
        <v>12.519083969465653</v>
      </c>
      <c r="F6" s="131">
        <v>120</v>
      </c>
      <c r="G6" s="133" t="s">
        <v>281</v>
      </c>
      <c r="H6" s="134" t="s">
        <v>286</v>
      </c>
    </row>
    <row r="7" spans="1:8" ht="25.5" customHeight="1" x14ac:dyDescent="0.2">
      <c r="A7" s="93" t="s">
        <v>287</v>
      </c>
      <c r="B7" s="130">
        <v>234.7</v>
      </c>
      <c r="C7" s="135">
        <v>198</v>
      </c>
      <c r="D7" s="132">
        <f t="shared" si="0"/>
        <v>36.699999999999989</v>
      </c>
      <c r="E7" s="112">
        <f t="shared" si="1"/>
        <v>18.535353535353529</v>
      </c>
      <c r="F7" s="135">
        <v>150</v>
      </c>
      <c r="G7" s="133" t="s">
        <v>281</v>
      </c>
      <c r="H7" s="136" t="s">
        <v>288</v>
      </c>
    </row>
    <row r="8" spans="1:8" ht="25.5" customHeight="1" x14ac:dyDescent="0.2">
      <c r="A8" s="100" t="s">
        <v>289</v>
      </c>
      <c r="B8" s="137">
        <v>43.8</v>
      </c>
      <c r="C8" s="138">
        <v>38</v>
      </c>
      <c r="D8" s="139">
        <f t="shared" si="0"/>
        <v>5.7999999999999972</v>
      </c>
      <c r="E8" s="116">
        <f t="shared" si="1"/>
        <v>15.263157894736834</v>
      </c>
      <c r="F8" s="138">
        <v>30</v>
      </c>
      <c r="G8" s="133" t="s">
        <v>281</v>
      </c>
      <c r="H8" s="134" t="s">
        <v>290</v>
      </c>
    </row>
    <row r="9" spans="1:8" ht="25.5" customHeight="1" x14ac:dyDescent="0.2">
      <c r="A9" s="93" t="s">
        <v>291</v>
      </c>
      <c r="B9" s="130">
        <v>23.1</v>
      </c>
      <c r="C9" s="135">
        <v>24.3</v>
      </c>
      <c r="D9" s="140">
        <f t="shared" si="0"/>
        <v>-1.1999999999999993</v>
      </c>
      <c r="E9" s="112">
        <f t="shared" si="1"/>
        <v>-4.9382716049382687</v>
      </c>
      <c r="F9" s="135">
        <v>25</v>
      </c>
      <c r="G9" s="133" t="s">
        <v>281</v>
      </c>
      <c r="H9" s="136" t="s">
        <v>292</v>
      </c>
    </row>
    <row r="10" spans="1:8" ht="25.5" customHeight="1" x14ac:dyDescent="0.2">
      <c r="A10" s="100" t="s">
        <v>293</v>
      </c>
      <c r="B10" s="130">
        <v>32.9</v>
      </c>
      <c r="C10" s="131">
        <v>34.1</v>
      </c>
      <c r="D10" s="140">
        <f t="shared" si="0"/>
        <v>-1.2000000000000028</v>
      </c>
      <c r="E10" s="116">
        <f t="shared" si="1"/>
        <v>-3.5190615835777206</v>
      </c>
      <c r="F10" s="131">
        <v>35</v>
      </c>
      <c r="G10" s="133" t="s">
        <v>281</v>
      </c>
      <c r="H10" s="134" t="s">
        <v>294</v>
      </c>
    </row>
    <row r="11" spans="1:8" ht="25.5" customHeight="1" x14ac:dyDescent="0.2">
      <c r="A11" s="93" t="s">
        <v>295</v>
      </c>
      <c r="B11" s="130">
        <v>23.8</v>
      </c>
      <c r="C11" s="135">
        <v>20.100000000000001</v>
      </c>
      <c r="D11" s="132">
        <f t="shared" si="0"/>
        <v>3.6999999999999993</v>
      </c>
      <c r="E11" s="112">
        <f t="shared" si="1"/>
        <v>18.407960199004968</v>
      </c>
      <c r="F11" s="135">
        <v>20</v>
      </c>
      <c r="G11" s="141" t="s">
        <v>296</v>
      </c>
      <c r="H11" s="136" t="s">
        <v>297</v>
      </c>
    </row>
    <row r="12" spans="1:8" ht="25.5" customHeight="1" x14ac:dyDescent="0.2">
      <c r="A12" s="100" t="s">
        <v>298</v>
      </c>
      <c r="B12" s="130">
        <v>27.4</v>
      </c>
      <c r="C12" s="131">
        <v>24</v>
      </c>
      <c r="D12" s="132">
        <f t="shared" si="0"/>
        <v>3.3999999999999986</v>
      </c>
      <c r="E12" s="116">
        <f t="shared" si="1"/>
        <v>14.166666666666661</v>
      </c>
      <c r="F12" s="131">
        <v>20</v>
      </c>
      <c r="G12" s="133" t="s">
        <v>281</v>
      </c>
      <c r="H12" s="134" t="s">
        <v>299</v>
      </c>
    </row>
    <row r="13" spans="1:8" ht="25.5" customHeight="1" x14ac:dyDescent="0.2">
      <c r="A13" s="93" t="s">
        <v>300</v>
      </c>
      <c r="B13" s="142">
        <v>26767</v>
      </c>
      <c r="C13" s="143">
        <v>23500</v>
      </c>
      <c r="D13" s="144">
        <f t="shared" si="0"/>
        <v>3267</v>
      </c>
      <c r="E13" s="112">
        <f t="shared" si="1"/>
        <v>13.902127659574468</v>
      </c>
      <c r="F13" s="143">
        <v>25000</v>
      </c>
      <c r="G13" s="133" t="s">
        <v>281</v>
      </c>
      <c r="H13" s="136" t="s">
        <v>301</v>
      </c>
    </row>
    <row r="14" spans="1:8" ht="25.5" customHeight="1" x14ac:dyDescent="0.2">
      <c r="A14" s="100" t="s">
        <v>302</v>
      </c>
      <c r="B14" s="142">
        <v>6930</v>
      </c>
      <c r="C14" s="145">
        <v>5700</v>
      </c>
      <c r="D14" s="144">
        <f t="shared" si="0"/>
        <v>1230</v>
      </c>
      <c r="E14" s="116">
        <f t="shared" si="1"/>
        <v>21.578947368421055</v>
      </c>
      <c r="F14" s="145">
        <v>5000</v>
      </c>
      <c r="G14" s="133" t="s">
        <v>281</v>
      </c>
      <c r="H14" s="134" t="s">
        <v>303</v>
      </c>
    </row>
    <row r="15" spans="1:8" ht="25.5" customHeight="1" x14ac:dyDescent="0.2">
      <c r="A15" s="93" t="s">
        <v>304</v>
      </c>
      <c r="B15" s="142">
        <v>594960</v>
      </c>
      <c r="C15" s="143">
        <v>523565</v>
      </c>
      <c r="D15" s="144">
        <f t="shared" si="0"/>
        <v>71395</v>
      </c>
      <c r="E15" s="112">
        <f t="shared" si="1"/>
        <v>13.636320227669918</v>
      </c>
      <c r="F15" s="84" t="s">
        <v>305</v>
      </c>
      <c r="G15" s="84" t="s">
        <v>306</v>
      </c>
      <c r="H15" s="136" t="s">
        <v>307</v>
      </c>
    </row>
    <row r="16" spans="1:8" ht="25.5" customHeight="1" x14ac:dyDescent="0.2">
      <c r="A16" s="100" t="s">
        <v>308</v>
      </c>
      <c r="B16" s="130">
        <v>15.2</v>
      </c>
      <c r="C16" s="146" t="s">
        <v>305</v>
      </c>
      <c r="D16" s="146" t="s">
        <v>305</v>
      </c>
      <c r="E16" s="146" t="s">
        <v>305</v>
      </c>
      <c r="F16" s="131">
        <v>10</v>
      </c>
      <c r="G16" s="133" t="s">
        <v>281</v>
      </c>
      <c r="H16" s="134" t="s">
        <v>309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7A589"/>
  </sheetPr>
  <dimension ref="A1:L26"/>
  <sheetViews>
    <sheetView showGridLines="0" zoomScaleNormal="100" workbookViewId="0">
      <pane ySplit="9" topLeftCell="A10" activePane="bottomLeft" state="frozen"/>
      <selection pane="bottomLeft" sqref="A1:L1"/>
    </sheetView>
  </sheetViews>
  <sheetFormatPr baseColWidth="10" defaultColWidth="8.6640625" defaultRowHeight="15" x14ac:dyDescent="0.2"/>
  <cols>
    <col min="1" max="1" width="7" customWidth="1"/>
    <col min="2" max="2" width="13" customWidth="1"/>
    <col min="3" max="3" width="12" customWidth="1"/>
    <col min="4" max="4" width="9" customWidth="1"/>
    <col min="5" max="5" width="14" customWidth="1"/>
    <col min="6" max="6" width="13" customWidth="1"/>
    <col min="7" max="7" width="9" customWidth="1"/>
    <col min="8" max="9" width="13" customWidth="1"/>
    <col min="10" max="10" width="10" customWidth="1"/>
    <col min="11" max="11" width="11" customWidth="1"/>
    <col min="12" max="12" width="60" customWidth="1"/>
  </cols>
  <sheetData>
    <row r="1" spans="1:12" ht="60" customHeight="1" x14ac:dyDescent="0.2">
      <c r="A1" s="6" t="s">
        <v>310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 customHeight="1" x14ac:dyDescent="0.2">
      <c r="A2" s="302" t="s">
        <v>311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</row>
    <row r="4" spans="1:12" ht="15.75" customHeight="1" x14ac:dyDescent="0.2">
      <c r="A4" s="4" t="s">
        <v>312</v>
      </c>
      <c r="B4" s="4"/>
      <c r="C4" s="3" t="s">
        <v>254</v>
      </c>
      <c r="D4" s="3"/>
      <c r="E4" s="2" t="s">
        <v>257</v>
      </c>
      <c r="F4" s="2"/>
      <c r="G4" s="1" t="s">
        <v>313</v>
      </c>
      <c r="H4" s="1"/>
      <c r="I4" s="294" t="s">
        <v>314</v>
      </c>
      <c r="J4" s="294"/>
      <c r="K4" s="307" t="s">
        <v>43</v>
      </c>
      <c r="L4" s="307"/>
    </row>
    <row r="5" spans="1:12" ht="31.5" customHeight="1" x14ac:dyDescent="0.2">
      <c r="A5" s="308" t="s">
        <v>315</v>
      </c>
      <c r="B5" s="308"/>
      <c r="C5" s="309" t="s">
        <v>316</v>
      </c>
      <c r="D5" s="309"/>
      <c r="E5" s="310" t="s">
        <v>317</v>
      </c>
      <c r="F5" s="310"/>
      <c r="G5" s="311" t="s">
        <v>243</v>
      </c>
      <c r="H5" s="311"/>
      <c r="I5" s="312" t="s">
        <v>244</v>
      </c>
      <c r="J5" s="312"/>
      <c r="K5" s="313" t="s">
        <v>318</v>
      </c>
      <c r="L5" s="313"/>
    </row>
    <row r="6" spans="1:12" ht="21.75" customHeight="1" x14ac:dyDescent="0.2">
      <c r="A6" s="301" t="s">
        <v>319</v>
      </c>
      <c r="B6" s="301"/>
      <c r="C6" s="302" t="s">
        <v>320</v>
      </c>
      <c r="D6" s="302"/>
      <c r="E6" s="303" t="s">
        <v>321</v>
      </c>
      <c r="F6" s="303"/>
      <c r="G6" s="304" t="s">
        <v>322</v>
      </c>
      <c r="H6" s="304"/>
      <c r="I6" s="305" t="s">
        <v>323</v>
      </c>
      <c r="J6" s="305"/>
      <c r="K6" s="314" t="s">
        <v>324</v>
      </c>
      <c r="L6" s="314"/>
    </row>
    <row r="8" spans="1:12" ht="21.75" customHeight="1" x14ac:dyDescent="0.2">
      <c r="A8" s="83" t="s">
        <v>190</v>
      </c>
      <c r="B8" s="83" t="s">
        <v>11</v>
      </c>
      <c r="C8" s="83" t="s">
        <v>325</v>
      </c>
      <c r="D8" s="83" t="s">
        <v>253</v>
      </c>
      <c r="E8" s="83" t="s">
        <v>31</v>
      </c>
      <c r="F8" s="83" t="s">
        <v>254</v>
      </c>
      <c r="G8" s="83" t="s">
        <v>326</v>
      </c>
      <c r="H8" s="83" t="s">
        <v>43</v>
      </c>
      <c r="I8" s="83" t="s">
        <v>257</v>
      </c>
      <c r="J8" s="83" t="s">
        <v>327</v>
      </c>
      <c r="K8" s="83" t="s">
        <v>259</v>
      </c>
      <c r="L8" s="83" t="s">
        <v>328</v>
      </c>
    </row>
    <row r="9" spans="1:12" ht="39.75" customHeight="1" x14ac:dyDescent="0.2">
      <c r="A9" s="84" t="s">
        <v>261</v>
      </c>
      <c r="B9" s="86">
        <v>92300</v>
      </c>
      <c r="C9" s="111">
        <v>84916</v>
      </c>
      <c r="D9" s="112">
        <f t="shared" ref="D9:D18" si="0">(B9-C9)/C9*100</f>
        <v>8.695652173913043</v>
      </c>
      <c r="E9" s="86">
        <v>31000</v>
      </c>
      <c r="F9" s="86">
        <v>61300</v>
      </c>
      <c r="G9" s="113">
        <f t="shared" ref="G9:G18" si="1">F9/B9*100</f>
        <v>66.413867822318522</v>
      </c>
      <c r="H9" s="86">
        <v>22000</v>
      </c>
      <c r="I9" s="114">
        <v>22030</v>
      </c>
      <c r="J9" s="113">
        <f t="shared" ref="J9:J18" si="2">I9/B9*100</f>
        <v>23.867822318526542</v>
      </c>
      <c r="K9" s="110">
        <v>128</v>
      </c>
      <c r="L9" s="147" t="s">
        <v>329</v>
      </c>
    </row>
    <row r="10" spans="1:12" ht="39.75" customHeight="1" x14ac:dyDescent="0.2">
      <c r="A10" s="88" t="s">
        <v>262</v>
      </c>
      <c r="B10" s="90">
        <v>95550</v>
      </c>
      <c r="C10" s="115">
        <v>87906</v>
      </c>
      <c r="D10" s="116">
        <f t="shared" si="0"/>
        <v>8.695652173913043</v>
      </c>
      <c r="E10" s="90">
        <v>32000</v>
      </c>
      <c r="F10" s="90">
        <v>63550</v>
      </c>
      <c r="G10" s="117">
        <f t="shared" si="1"/>
        <v>66.50968079539507</v>
      </c>
      <c r="H10" s="90">
        <v>22000</v>
      </c>
      <c r="I10" s="118">
        <v>22085</v>
      </c>
      <c r="J10" s="117">
        <f t="shared" si="2"/>
        <v>23.113553113553113</v>
      </c>
      <c r="K10" s="108">
        <v>132</v>
      </c>
      <c r="L10" s="148" t="s">
        <v>330</v>
      </c>
    </row>
    <row r="11" spans="1:12" ht="39.75" customHeight="1" x14ac:dyDescent="0.2">
      <c r="A11" s="84" t="s">
        <v>263</v>
      </c>
      <c r="B11" s="86">
        <v>100100</v>
      </c>
      <c r="C11" s="111">
        <v>92092</v>
      </c>
      <c r="D11" s="112">
        <f t="shared" si="0"/>
        <v>8.695652173913043</v>
      </c>
      <c r="E11" s="86">
        <v>33500</v>
      </c>
      <c r="F11" s="86">
        <v>66600</v>
      </c>
      <c r="G11" s="113">
        <f t="shared" si="1"/>
        <v>66.533466533466537</v>
      </c>
      <c r="H11" s="86">
        <v>22500</v>
      </c>
      <c r="I11" s="114">
        <v>21170</v>
      </c>
      <c r="J11" s="113">
        <f t="shared" si="2"/>
        <v>21.148851148851151</v>
      </c>
      <c r="K11" s="110">
        <v>135</v>
      </c>
      <c r="L11" s="147" t="s">
        <v>331</v>
      </c>
    </row>
    <row r="12" spans="1:12" ht="39.75" customHeight="1" x14ac:dyDescent="0.2">
      <c r="A12" s="88" t="s">
        <v>264</v>
      </c>
      <c r="B12" s="90">
        <v>93780</v>
      </c>
      <c r="C12" s="115">
        <v>86278</v>
      </c>
      <c r="D12" s="116">
        <f t="shared" si="0"/>
        <v>8.6951482417302195</v>
      </c>
      <c r="E12" s="90">
        <v>32000</v>
      </c>
      <c r="F12" s="90">
        <v>61780</v>
      </c>
      <c r="G12" s="117">
        <f t="shared" si="1"/>
        <v>65.877585839198133</v>
      </c>
      <c r="H12" s="90">
        <v>22000</v>
      </c>
      <c r="I12" s="118">
        <v>21348</v>
      </c>
      <c r="J12" s="117">
        <f t="shared" si="2"/>
        <v>22.763915547024951</v>
      </c>
      <c r="K12" s="108">
        <v>136</v>
      </c>
      <c r="L12" s="148" t="s">
        <v>332</v>
      </c>
    </row>
    <row r="13" spans="1:12" ht="39.75" customHeight="1" x14ac:dyDescent="0.2">
      <c r="A13" s="84" t="s">
        <v>265</v>
      </c>
      <c r="B13" s="86">
        <v>100300</v>
      </c>
      <c r="C13" s="111">
        <v>92276</v>
      </c>
      <c r="D13" s="112">
        <f t="shared" si="0"/>
        <v>8.695652173913043</v>
      </c>
      <c r="E13" s="86">
        <v>34000</v>
      </c>
      <c r="F13" s="86">
        <v>66300</v>
      </c>
      <c r="G13" s="113">
        <f t="shared" si="1"/>
        <v>66.101694915254242</v>
      </c>
      <c r="H13" s="86">
        <v>22500</v>
      </c>
      <c r="I13" s="114">
        <v>21392</v>
      </c>
      <c r="J13" s="113">
        <f t="shared" si="2"/>
        <v>21.32801595214357</v>
      </c>
      <c r="K13" s="110">
        <v>139</v>
      </c>
      <c r="L13" s="147" t="s">
        <v>333</v>
      </c>
    </row>
    <row r="14" spans="1:12" ht="39.75" customHeight="1" x14ac:dyDescent="0.2">
      <c r="A14" s="88" t="s">
        <v>266</v>
      </c>
      <c r="B14" s="90">
        <v>103600</v>
      </c>
      <c r="C14" s="115">
        <v>95312</v>
      </c>
      <c r="D14" s="116">
        <f t="shared" si="0"/>
        <v>8.695652173913043</v>
      </c>
      <c r="E14" s="90">
        <v>35000</v>
      </c>
      <c r="F14" s="90">
        <v>68600</v>
      </c>
      <c r="G14" s="117">
        <f t="shared" si="1"/>
        <v>66.21621621621621</v>
      </c>
      <c r="H14" s="90">
        <v>23000</v>
      </c>
      <c r="I14" s="118">
        <v>21735</v>
      </c>
      <c r="J14" s="117">
        <f t="shared" si="2"/>
        <v>20.97972972972973</v>
      </c>
      <c r="K14" s="108">
        <v>141</v>
      </c>
      <c r="L14" s="148" t="s">
        <v>334</v>
      </c>
    </row>
    <row r="15" spans="1:12" ht="39.75" customHeight="1" x14ac:dyDescent="0.2">
      <c r="A15" s="84" t="s">
        <v>267</v>
      </c>
      <c r="B15" s="86">
        <v>101190</v>
      </c>
      <c r="C15" s="111">
        <v>93095</v>
      </c>
      <c r="D15" s="112">
        <f t="shared" si="0"/>
        <v>8.6954186583597401</v>
      </c>
      <c r="E15" s="86">
        <v>34500</v>
      </c>
      <c r="F15" s="86">
        <v>66690</v>
      </c>
      <c r="G15" s="113">
        <f t="shared" si="1"/>
        <v>65.905721909279563</v>
      </c>
      <c r="H15" s="86">
        <v>22500</v>
      </c>
      <c r="I15" s="114">
        <v>21163</v>
      </c>
      <c r="J15" s="113">
        <f t="shared" si="2"/>
        <v>20.914121948809168</v>
      </c>
      <c r="K15" s="110">
        <v>143</v>
      </c>
      <c r="L15" s="147" t="s">
        <v>335</v>
      </c>
    </row>
    <row r="16" spans="1:12" ht="39.75" customHeight="1" x14ac:dyDescent="0.2">
      <c r="A16" s="88" t="s">
        <v>268</v>
      </c>
      <c r="B16" s="90">
        <v>104570</v>
      </c>
      <c r="C16" s="115">
        <v>96204</v>
      </c>
      <c r="D16" s="116">
        <f t="shared" si="0"/>
        <v>8.6961041120951315</v>
      </c>
      <c r="E16" s="90">
        <v>35500</v>
      </c>
      <c r="F16" s="90">
        <v>69070</v>
      </c>
      <c r="G16" s="117">
        <f t="shared" si="1"/>
        <v>66.051448790284013</v>
      </c>
      <c r="H16" s="90">
        <v>23000</v>
      </c>
      <c r="I16" s="118">
        <v>21578</v>
      </c>
      <c r="J16" s="117">
        <f t="shared" si="2"/>
        <v>20.634981352204264</v>
      </c>
      <c r="K16" s="108">
        <v>145</v>
      </c>
      <c r="L16" s="148" t="s">
        <v>336</v>
      </c>
    </row>
    <row r="17" spans="1:12" ht="39.75" customHeight="1" x14ac:dyDescent="0.2">
      <c r="A17" s="119" t="s">
        <v>269</v>
      </c>
      <c r="B17" s="120">
        <v>107070</v>
      </c>
      <c r="C17" s="121">
        <v>98504</v>
      </c>
      <c r="D17" s="122">
        <f t="shared" si="0"/>
        <v>8.6960935596524003</v>
      </c>
      <c r="E17" s="123">
        <v>36000</v>
      </c>
      <c r="F17" s="120">
        <v>71070</v>
      </c>
      <c r="G17" s="124">
        <f t="shared" si="1"/>
        <v>66.377136452787894</v>
      </c>
      <c r="H17" s="123">
        <v>23500</v>
      </c>
      <c r="I17" s="125">
        <v>22110</v>
      </c>
      <c r="J17" s="124">
        <f t="shared" si="2"/>
        <v>20.650042028579435</v>
      </c>
      <c r="K17" s="126">
        <v>147</v>
      </c>
      <c r="L17" s="149" t="s">
        <v>337</v>
      </c>
    </row>
    <row r="18" spans="1:12" ht="15" customHeight="1" x14ac:dyDescent="0.2">
      <c r="A18" s="105" t="s">
        <v>338</v>
      </c>
      <c r="B18" s="106">
        <f>SUM(B9:B17)</f>
        <v>898460</v>
      </c>
      <c r="C18" s="106">
        <f>SUM(C9:C17)</f>
        <v>826583</v>
      </c>
      <c r="D18" s="128">
        <f t="shared" si="0"/>
        <v>8.6956784739100605</v>
      </c>
      <c r="E18" s="106">
        <f>SUM(E9:E17)</f>
        <v>303500</v>
      </c>
      <c r="F18" s="106">
        <f>SUM(F9:F17)</f>
        <v>594960</v>
      </c>
      <c r="G18" s="128">
        <f t="shared" si="1"/>
        <v>66.219976404069186</v>
      </c>
      <c r="H18" s="106">
        <f>SUM(H9:H17)</f>
        <v>203000</v>
      </c>
      <c r="I18" s="106">
        <f>SUM(I9:I17)</f>
        <v>194611</v>
      </c>
      <c r="J18" s="128">
        <f t="shared" si="2"/>
        <v>21.660507980321881</v>
      </c>
      <c r="K18" s="128">
        <f>AVERAGE(K9:K17)</f>
        <v>138.44444444444446</v>
      </c>
    </row>
    <row r="20" spans="1:12" ht="27.75" customHeight="1" x14ac:dyDescent="0.2">
      <c r="A20" s="315" t="s">
        <v>339</v>
      </c>
      <c r="B20" s="315"/>
      <c r="C20" s="315"/>
      <c r="D20" s="315"/>
      <c r="E20" s="315"/>
      <c r="F20" s="315"/>
      <c r="G20" s="315"/>
      <c r="H20" s="315"/>
      <c r="I20" s="315"/>
      <c r="J20" s="315"/>
      <c r="K20" s="315"/>
      <c r="L20" s="315"/>
    </row>
    <row r="21" spans="1:12" ht="49.5" customHeight="1" x14ac:dyDescent="0.2">
      <c r="A21" s="316" t="s">
        <v>340</v>
      </c>
      <c r="B21" s="316"/>
      <c r="C21" s="317" t="s">
        <v>341</v>
      </c>
      <c r="D21" s="317"/>
      <c r="E21" s="317"/>
      <c r="F21" s="317"/>
      <c r="G21" s="317"/>
      <c r="H21" s="317"/>
      <c r="I21" s="317"/>
      <c r="J21" s="317"/>
      <c r="K21" s="317"/>
      <c r="L21" s="317"/>
    </row>
    <row r="22" spans="1:12" ht="49.5" customHeight="1" x14ac:dyDescent="0.2">
      <c r="A22" s="316" t="s">
        <v>342</v>
      </c>
      <c r="B22" s="316"/>
      <c r="C22" s="318" t="s">
        <v>343</v>
      </c>
      <c r="D22" s="318"/>
      <c r="E22" s="318"/>
      <c r="F22" s="318"/>
      <c r="G22" s="318"/>
      <c r="H22" s="318"/>
      <c r="I22" s="318"/>
      <c r="J22" s="318"/>
      <c r="K22" s="318"/>
      <c r="L22" s="318"/>
    </row>
    <row r="23" spans="1:12" ht="49.5" customHeight="1" x14ac:dyDescent="0.2">
      <c r="A23" s="316" t="s">
        <v>344</v>
      </c>
      <c r="B23" s="316"/>
      <c r="C23" s="317" t="s">
        <v>345</v>
      </c>
      <c r="D23" s="317"/>
      <c r="E23" s="317"/>
      <c r="F23" s="317"/>
      <c r="G23" s="317"/>
      <c r="H23" s="317"/>
      <c r="I23" s="317"/>
      <c r="J23" s="317"/>
      <c r="K23" s="317"/>
      <c r="L23" s="317"/>
    </row>
    <row r="24" spans="1:12" ht="49.5" customHeight="1" x14ac:dyDescent="0.2">
      <c r="A24" s="316" t="s">
        <v>346</v>
      </c>
      <c r="B24" s="316"/>
      <c r="C24" s="318" t="s">
        <v>347</v>
      </c>
      <c r="D24" s="318"/>
      <c r="E24" s="318"/>
      <c r="F24" s="318"/>
      <c r="G24" s="318"/>
      <c r="H24" s="318"/>
      <c r="I24" s="318"/>
      <c r="J24" s="318"/>
      <c r="K24" s="318"/>
      <c r="L24" s="318"/>
    </row>
    <row r="25" spans="1:12" ht="49.5" customHeight="1" x14ac:dyDescent="0.2">
      <c r="A25" s="316" t="s">
        <v>348</v>
      </c>
      <c r="B25" s="316"/>
      <c r="C25" s="317" t="s">
        <v>349</v>
      </c>
      <c r="D25" s="317"/>
      <c r="E25" s="317"/>
      <c r="F25" s="317"/>
      <c r="G25" s="317"/>
      <c r="H25" s="317"/>
      <c r="I25" s="317"/>
      <c r="J25" s="317"/>
      <c r="K25" s="317"/>
      <c r="L25" s="317"/>
    </row>
    <row r="26" spans="1:12" ht="49.5" customHeight="1" x14ac:dyDescent="0.2">
      <c r="A26" s="316" t="s">
        <v>350</v>
      </c>
      <c r="B26" s="316"/>
      <c r="C26" s="318" t="s">
        <v>351</v>
      </c>
      <c r="D26" s="318"/>
      <c r="E26" s="318"/>
      <c r="F26" s="318"/>
      <c r="G26" s="318"/>
      <c r="H26" s="318"/>
      <c r="I26" s="318"/>
      <c r="J26" s="318"/>
      <c r="K26" s="318"/>
      <c r="L26" s="318"/>
    </row>
  </sheetData>
  <mergeCells count="33">
    <mergeCell ref="A26:B26"/>
    <mergeCell ref="C26:L26"/>
    <mergeCell ref="A23:B23"/>
    <mergeCell ref="C23:L23"/>
    <mergeCell ref="A24:B24"/>
    <mergeCell ref="C24:L24"/>
    <mergeCell ref="A25:B25"/>
    <mergeCell ref="C25:L25"/>
    <mergeCell ref="A20:L20"/>
    <mergeCell ref="A21:B21"/>
    <mergeCell ref="C21:L21"/>
    <mergeCell ref="A22:B22"/>
    <mergeCell ref="C22:L22"/>
    <mergeCell ref="K5:L5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A1:L1"/>
    <mergeCell ref="A2:L2"/>
    <mergeCell ref="A4:B4"/>
    <mergeCell ref="C4:D4"/>
    <mergeCell ref="E4:F4"/>
    <mergeCell ref="G4:H4"/>
    <mergeCell ref="I4:J4"/>
    <mergeCell ref="K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B59B6"/>
  </sheetPr>
  <dimension ref="A1:F9"/>
  <sheetViews>
    <sheetView showGridLines="0" zoomScaleNormal="100" workbookViewId="0">
      <pane ySplit="4" topLeftCell="A5" activePane="bottomLeft" state="frozen"/>
      <selection pane="bottomLeft" sqref="A1:F1"/>
    </sheetView>
  </sheetViews>
  <sheetFormatPr baseColWidth="10" defaultColWidth="8.6640625" defaultRowHeight="15" x14ac:dyDescent="0.2"/>
  <cols>
    <col min="1" max="1" width="16" customWidth="1"/>
    <col min="2" max="2" width="8" customWidth="1"/>
    <col min="3" max="3" width="18" customWidth="1"/>
    <col min="4" max="4" width="13" customWidth="1"/>
    <col min="5" max="5" width="28" customWidth="1"/>
    <col min="6" max="6" width="72" customWidth="1"/>
  </cols>
  <sheetData>
    <row r="1" spans="1:6" ht="49.5" customHeight="1" x14ac:dyDescent="0.2">
      <c r="A1" s="11" t="s">
        <v>352</v>
      </c>
      <c r="B1" s="11"/>
      <c r="C1" s="11"/>
      <c r="D1" s="11"/>
      <c r="E1" s="11"/>
      <c r="F1" s="11"/>
    </row>
    <row r="3" spans="1:6" ht="21.75" customHeight="1" x14ac:dyDescent="0.2">
      <c r="A3" s="83" t="s">
        <v>353</v>
      </c>
      <c r="B3" s="83" t="s">
        <v>278</v>
      </c>
      <c r="C3" s="83" t="s">
        <v>354</v>
      </c>
      <c r="D3" s="83" t="s">
        <v>355</v>
      </c>
      <c r="E3" s="83" t="s">
        <v>356</v>
      </c>
      <c r="F3" s="83" t="s">
        <v>357</v>
      </c>
    </row>
    <row r="4" spans="1:6" ht="64.5" customHeight="1" x14ac:dyDescent="0.2">
      <c r="A4" s="150" t="s">
        <v>257</v>
      </c>
      <c r="B4" s="151" t="s">
        <v>281</v>
      </c>
      <c r="C4" s="152" t="s">
        <v>358</v>
      </c>
      <c r="D4" s="87" t="s">
        <v>359</v>
      </c>
      <c r="E4" s="148" t="s">
        <v>360</v>
      </c>
      <c r="F4" s="153" t="s">
        <v>361</v>
      </c>
    </row>
    <row r="5" spans="1:6" ht="64.5" customHeight="1" x14ac:dyDescent="0.2">
      <c r="A5" s="150" t="s">
        <v>254</v>
      </c>
      <c r="B5" s="151" t="s">
        <v>281</v>
      </c>
      <c r="C5" s="154" t="s">
        <v>362</v>
      </c>
      <c r="D5" s="87" t="s">
        <v>363</v>
      </c>
      <c r="E5" s="147" t="s">
        <v>364</v>
      </c>
      <c r="F5" s="155" t="s">
        <v>365</v>
      </c>
    </row>
    <row r="6" spans="1:6" ht="64.5" customHeight="1" x14ac:dyDescent="0.2">
      <c r="A6" s="150" t="s">
        <v>313</v>
      </c>
      <c r="B6" s="151" t="s">
        <v>281</v>
      </c>
      <c r="C6" s="152" t="s">
        <v>366</v>
      </c>
      <c r="D6" s="87" t="s">
        <v>367</v>
      </c>
      <c r="E6" s="148" t="s">
        <v>368</v>
      </c>
      <c r="F6" s="153" t="s">
        <v>369</v>
      </c>
    </row>
    <row r="7" spans="1:6" ht="64.5" customHeight="1" x14ac:dyDescent="0.2">
      <c r="A7" s="150" t="s">
        <v>370</v>
      </c>
      <c r="B7" s="151" t="s">
        <v>281</v>
      </c>
      <c r="C7" s="154" t="s">
        <v>371</v>
      </c>
      <c r="D7" s="87" t="s">
        <v>372</v>
      </c>
      <c r="E7" s="147" t="s">
        <v>373</v>
      </c>
      <c r="F7" s="155" t="s">
        <v>374</v>
      </c>
    </row>
    <row r="8" spans="1:6" ht="64.5" customHeight="1" x14ac:dyDescent="0.2">
      <c r="A8" s="156" t="s">
        <v>43</v>
      </c>
      <c r="B8" s="157" t="s">
        <v>375</v>
      </c>
      <c r="C8" s="158" t="s">
        <v>376</v>
      </c>
      <c r="D8" s="159" t="s">
        <v>377</v>
      </c>
      <c r="E8" s="148" t="s">
        <v>378</v>
      </c>
      <c r="F8" s="153" t="s">
        <v>379</v>
      </c>
    </row>
    <row r="9" spans="1:6" ht="64.5" customHeight="1" x14ac:dyDescent="0.2">
      <c r="A9" s="160" t="s">
        <v>380</v>
      </c>
      <c r="B9" s="161" t="s">
        <v>296</v>
      </c>
      <c r="C9" s="162" t="s">
        <v>381</v>
      </c>
      <c r="D9" s="159" t="s">
        <v>382</v>
      </c>
      <c r="E9" s="147" t="s">
        <v>383</v>
      </c>
      <c r="F9" s="155" t="s">
        <v>384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392B"/>
  </sheetPr>
  <dimension ref="A1:H17"/>
  <sheetViews>
    <sheetView showGridLines="0" zoomScaleNormal="100" workbookViewId="0">
      <pane ySplit="4" topLeftCell="A5" activePane="bottomLeft" state="frozen"/>
      <selection pane="bottomLeft" sqref="A1:H1"/>
    </sheetView>
  </sheetViews>
  <sheetFormatPr baseColWidth="10" defaultColWidth="8.6640625" defaultRowHeight="15" x14ac:dyDescent="0.2"/>
  <cols>
    <col min="1" max="1" width="28" customWidth="1"/>
    <col min="2" max="2" width="14" customWidth="1"/>
    <col min="3" max="4" width="16" customWidth="1"/>
    <col min="5" max="5" width="10" customWidth="1"/>
    <col min="6" max="6" width="16" customWidth="1"/>
    <col min="7" max="7" width="10" customWidth="1"/>
    <col min="8" max="8" width="20" customWidth="1"/>
  </cols>
  <sheetData>
    <row r="1" spans="1:8" ht="49.5" customHeight="1" x14ac:dyDescent="0.2">
      <c r="A1" s="11" t="s">
        <v>385</v>
      </c>
      <c r="B1" s="11"/>
      <c r="C1" s="11"/>
      <c r="D1" s="11"/>
      <c r="E1" s="11"/>
      <c r="F1" s="11"/>
      <c r="G1" s="11"/>
      <c r="H1" s="11"/>
    </row>
    <row r="2" spans="1:8" ht="15" customHeight="1" x14ac:dyDescent="0.2">
      <c r="A2" s="10" t="s">
        <v>386</v>
      </c>
      <c r="B2" s="10"/>
      <c r="C2" s="10"/>
      <c r="D2" s="10"/>
      <c r="E2" s="10"/>
      <c r="F2" s="10"/>
      <c r="G2" s="10"/>
      <c r="H2" s="10"/>
    </row>
    <row r="4" spans="1:8" ht="21.75" customHeight="1" x14ac:dyDescent="0.2">
      <c r="A4" s="83" t="s">
        <v>387</v>
      </c>
      <c r="B4" s="83" t="s">
        <v>388</v>
      </c>
      <c r="C4" s="83" t="s">
        <v>389</v>
      </c>
      <c r="D4" s="83" t="s">
        <v>390</v>
      </c>
      <c r="E4" s="83" t="s">
        <v>391</v>
      </c>
      <c r="F4" s="83" t="s">
        <v>327</v>
      </c>
      <c r="G4" s="83" t="s">
        <v>392</v>
      </c>
      <c r="H4" s="83" t="s">
        <v>393</v>
      </c>
    </row>
    <row r="5" spans="1:8" ht="31.5" customHeight="1" x14ac:dyDescent="0.2">
      <c r="A5" s="163" t="s">
        <v>394</v>
      </c>
      <c r="B5" s="164" t="s">
        <v>395</v>
      </c>
      <c r="C5" s="95">
        <v>865020</v>
      </c>
      <c r="D5" s="95">
        <v>580020</v>
      </c>
      <c r="E5" s="165">
        <v>223220</v>
      </c>
      <c r="F5" s="110">
        <v>25.8</v>
      </c>
      <c r="G5" s="110">
        <v>147.4</v>
      </c>
      <c r="H5" s="166" t="s">
        <v>396</v>
      </c>
    </row>
    <row r="6" spans="1:8" ht="31.5" customHeight="1" x14ac:dyDescent="0.2">
      <c r="A6" s="167" t="s">
        <v>397</v>
      </c>
      <c r="B6" s="146" t="s">
        <v>398</v>
      </c>
      <c r="C6" s="102">
        <v>2450000</v>
      </c>
      <c r="D6" s="102">
        <v>1580000</v>
      </c>
      <c r="E6" s="168">
        <v>612000</v>
      </c>
      <c r="F6" s="108">
        <v>25</v>
      </c>
      <c r="G6" s="108">
        <v>139</v>
      </c>
      <c r="H6" s="169" t="s">
        <v>399</v>
      </c>
    </row>
    <row r="7" spans="1:8" ht="31.5" customHeight="1" x14ac:dyDescent="0.2">
      <c r="A7" s="170" t="s">
        <v>400</v>
      </c>
      <c r="B7" s="164" t="s">
        <v>401</v>
      </c>
      <c r="C7" s="95">
        <v>2310000</v>
      </c>
      <c r="D7" s="95">
        <v>1495000</v>
      </c>
      <c r="E7" s="165">
        <v>590000</v>
      </c>
      <c r="F7" s="110">
        <v>25.5</v>
      </c>
      <c r="G7" s="110">
        <v>141.19999999999999</v>
      </c>
      <c r="H7" s="166" t="s">
        <v>402</v>
      </c>
    </row>
    <row r="10" spans="1:8" ht="25.5" customHeight="1" x14ac:dyDescent="0.2">
      <c r="A10" s="7" t="s">
        <v>403</v>
      </c>
      <c r="B10" s="7"/>
      <c r="C10" s="7"/>
      <c r="D10" s="7"/>
      <c r="E10" s="7"/>
      <c r="F10" s="7"/>
      <c r="G10" s="7"/>
      <c r="H10" s="7"/>
    </row>
    <row r="11" spans="1:8" ht="15" customHeight="1" x14ac:dyDescent="0.2">
      <c r="A11" s="171" t="s">
        <v>150</v>
      </c>
      <c r="B11" s="171" t="s">
        <v>161</v>
      </c>
      <c r="C11" s="171" t="s">
        <v>11</v>
      </c>
      <c r="D11" s="171" t="s">
        <v>254</v>
      </c>
      <c r="E11" s="171" t="s">
        <v>326</v>
      </c>
      <c r="F11" s="171" t="s">
        <v>257</v>
      </c>
      <c r="G11" s="171" t="s">
        <v>327</v>
      </c>
      <c r="H11" s="171" t="s">
        <v>404</v>
      </c>
    </row>
    <row r="12" spans="1:8" ht="15" customHeight="1" x14ac:dyDescent="0.2">
      <c r="A12" s="100" t="s">
        <v>163</v>
      </c>
      <c r="B12" s="87" t="s">
        <v>405</v>
      </c>
      <c r="C12" s="90">
        <v>865020</v>
      </c>
      <c r="D12" s="90">
        <v>580020</v>
      </c>
      <c r="E12" s="108">
        <v>67.099999999999994</v>
      </c>
      <c r="F12" s="118">
        <v>223220</v>
      </c>
      <c r="G12" s="108">
        <v>25.8</v>
      </c>
      <c r="H12" s="108">
        <v>147.4</v>
      </c>
    </row>
    <row r="13" spans="1:8" ht="15" customHeight="1" x14ac:dyDescent="0.2">
      <c r="A13" s="93" t="s">
        <v>178</v>
      </c>
      <c r="B13" s="87" t="s">
        <v>405</v>
      </c>
      <c r="C13" s="86">
        <v>920000</v>
      </c>
      <c r="D13" s="86">
        <v>560000</v>
      </c>
      <c r="E13" s="110">
        <v>60.9</v>
      </c>
      <c r="F13" s="114">
        <v>210000</v>
      </c>
      <c r="G13" s="110">
        <v>22.8</v>
      </c>
      <c r="H13" s="110">
        <v>132</v>
      </c>
    </row>
    <row r="14" spans="1:8" ht="15" customHeight="1" x14ac:dyDescent="0.2">
      <c r="A14" s="100" t="s">
        <v>226</v>
      </c>
      <c r="B14" s="87" t="s">
        <v>405</v>
      </c>
      <c r="C14" s="90">
        <v>665000</v>
      </c>
      <c r="D14" s="90">
        <v>440000</v>
      </c>
      <c r="E14" s="108">
        <v>66.2</v>
      </c>
      <c r="F14" s="118">
        <v>178780</v>
      </c>
      <c r="G14" s="108">
        <v>26.9</v>
      </c>
      <c r="H14" s="108">
        <v>138.5</v>
      </c>
    </row>
    <row r="15" spans="1:8" ht="15" customHeight="1" x14ac:dyDescent="0.2">
      <c r="A15" s="93" t="s">
        <v>406</v>
      </c>
      <c r="B15" s="87" t="s">
        <v>405</v>
      </c>
      <c r="C15" s="86">
        <v>450000</v>
      </c>
      <c r="D15" s="86">
        <v>265000</v>
      </c>
      <c r="E15" s="110">
        <v>58.9</v>
      </c>
      <c r="F15" s="114">
        <v>120000</v>
      </c>
      <c r="G15" s="110">
        <v>26.7</v>
      </c>
      <c r="H15" s="110">
        <v>128</v>
      </c>
    </row>
    <row r="16" spans="1:8" ht="15" customHeight="1" x14ac:dyDescent="0.2">
      <c r="A16" s="89" t="s">
        <v>407</v>
      </c>
      <c r="B16" s="172" t="s">
        <v>408</v>
      </c>
      <c r="C16" s="164" t="s">
        <v>409</v>
      </c>
      <c r="D16" s="164" t="s">
        <v>409</v>
      </c>
      <c r="E16" s="164" t="s">
        <v>409</v>
      </c>
      <c r="F16" s="164" t="s">
        <v>409</v>
      </c>
      <c r="G16" s="164" t="s">
        <v>409</v>
      </c>
      <c r="H16" s="164" t="s">
        <v>409</v>
      </c>
    </row>
    <row r="17" spans="1:8" ht="15" customHeight="1" x14ac:dyDescent="0.2">
      <c r="A17" s="105" t="s">
        <v>410</v>
      </c>
      <c r="C17" s="106">
        <f>SUM(C12:C16)</f>
        <v>2900020</v>
      </c>
      <c r="D17" s="106">
        <f>SUM(D12:D16)</f>
        <v>1845020</v>
      </c>
      <c r="E17" s="173" t="s">
        <v>305</v>
      </c>
      <c r="F17" s="106">
        <f>SUM(F12:F16)</f>
        <v>732000</v>
      </c>
      <c r="G17" s="173" t="s">
        <v>305</v>
      </c>
      <c r="H17" s="173" t="s">
        <v>305</v>
      </c>
    </row>
  </sheetData>
  <mergeCells count="3">
    <mergeCell ref="A1:H1"/>
    <mergeCell ref="A2:H2"/>
    <mergeCell ref="A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67E22"/>
  </sheetPr>
  <dimension ref="A1:P17"/>
  <sheetViews>
    <sheetView showGridLines="0" zoomScaleNormal="100" workbookViewId="0">
      <pane ySplit="4" topLeftCell="A5" activePane="bottomLeft" state="frozen"/>
      <selection pane="bottomLeft" sqref="A1:P1"/>
    </sheetView>
  </sheetViews>
  <sheetFormatPr baseColWidth="10" defaultColWidth="8.6640625" defaultRowHeight="15" x14ac:dyDescent="0.2"/>
  <cols>
    <col min="1" max="2" width="7" customWidth="1"/>
    <col min="3" max="4" width="14" customWidth="1"/>
    <col min="5" max="5" width="10" customWidth="1"/>
    <col min="6" max="6" width="14" customWidth="1"/>
    <col min="7" max="7" width="13" customWidth="1"/>
    <col min="8" max="8" width="9" customWidth="1"/>
    <col min="9" max="9" width="13" customWidth="1"/>
    <col min="10" max="10" width="12" customWidth="1"/>
    <col min="11" max="11" width="13" customWidth="1"/>
    <col min="12" max="12" width="9" customWidth="1"/>
    <col min="13" max="13" width="12" customWidth="1"/>
    <col min="14" max="14" width="10" customWidth="1"/>
    <col min="15" max="15" width="50" customWidth="1"/>
    <col min="16" max="16" width="10" customWidth="1"/>
  </cols>
  <sheetData>
    <row r="1" spans="1:16" ht="49.5" customHeight="1" x14ac:dyDescent="0.2">
      <c r="A1" s="11" t="s">
        <v>411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5" customHeight="1" x14ac:dyDescent="0.2">
      <c r="A2" s="10" t="s">
        <v>412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6" ht="21.75" customHeight="1" x14ac:dyDescent="0.2">
      <c r="A4" s="174" t="s">
        <v>190</v>
      </c>
      <c r="B4" s="174" t="s">
        <v>413</v>
      </c>
      <c r="C4" s="174" t="s">
        <v>11</v>
      </c>
      <c r="D4" s="174" t="s">
        <v>414</v>
      </c>
      <c r="E4" s="174" t="s">
        <v>415</v>
      </c>
      <c r="F4" s="174" t="s">
        <v>31</v>
      </c>
      <c r="G4" s="174" t="s">
        <v>254</v>
      </c>
      <c r="H4" s="174" t="s">
        <v>326</v>
      </c>
      <c r="I4" s="174" t="s">
        <v>43</v>
      </c>
      <c r="J4" s="174" t="s">
        <v>83</v>
      </c>
      <c r="K4" s="174" t="s">
        <v>257</v>
      </c>
      <c r="L4" s="174" t="s">
        <v>327</v>
      </c>
      <c r="M4" s="174" t="s">
        <v>259</v>
      </c>
      <c r="N4" s="174" t="s">
        <v>161</v>
      </c>
      <c r="O4" s="174" t="s">
        <v>393</v>
      </c>
      <c r="P4" s="174" t="s">
        <v>416</v>
      </c>
    </row>
    <row r="5" spans="1:16" ht="36" customHeight="1" x14ac:dyDescent="0.2">
      <c r="A5" s="84" t="s">
        <v>261</v>
      </c>
      <c r="B5" s="175" t="s">
        <v>417</v>
      </c>
      <c r="C5" s="86">
        <v>92300</v>
      </c>
      <c r="D5" s="176">
        <v>103376</v>
      </c>
      <c r="E5" s="177">
        <f t="shared" ref="E5:E16" si="0">(C5-D5)/D5*100</f>
        <v>-10.714285714285714</v>
      </c>
      <c r="F5" s="86">
        <v>31000</v>
      </c>
      <c r="G5" s="97">
        <f t="shared" ref="G5:G16" si="1">C5-F5</f>
        <v>61300</v>
      </c>
      <c r="H5" s="178">
        <f t="shared" ref="H5:H17" si="2">G5/C5*100</f>
        <v>66.413867822318522</v>
      </c>
      <c r="I5" s="86">
        <v>22000</v>
      </c>
      <c r="J5" s="86">
        <v>17270</v>
      </c>
      <c r="K5" s="179">
        <f t="shared" ref="K5:K16" si="3">G5-I5-J5</f>
        <v>22030</v>
      </c>
      <c r="L5" s="178">
        <f t="shared" ref="L5:L17" si="4">K5/C5*100</f>
        <v>23.867822318526542</v>
      </c>
      <c r="M5" s="110">
        <v>128</v>
      </c>
      <c r="N5" s="175" t="s">
        <v>418</v>
      </c>
      <c r="O5" s="180" t="s">
        <v>329</v>
      </c>
      <c r="P5" s="181" t="s">
        <v>417</v>
      </c>
    </row>
    <row r="6" spans="1:16" ht="36" customHeight="1" x14ac:dyDescent="0.2">
      <c r="A6" s="88" t="s">
        <v>262</v>
      </c>
      <c r="B6" s="175" t="s">
        <v>417</v>
      </c>
      <c r="C6" s="90">
        <v>95550</v>
      </c>
      <c r="D6" s="182">
        <v>107016</v>
      </c>
      <c r="E6" s="183">
        <f t="shared" si="0"/>
        <v>-10.714285714285714</v>
      </c>
      <c r="F6" s="90">
        <v>32000</v>
      </c>
      <c r="G6" s="104">
        <f t="shared" si="1"/>
        <v>63550</v>
      </c>
      <c r="H6" s="184">
        <f t="shared" si="2"/>
        <v>66.50968079539507</v>
      </c>
      <c r="I6" s="90">
        <v>22000</v>
      </c>
      <c r="J6" s="90">
        <v>19465</v>
      </c>
      <c r="K6" s="179">
        <f t="shared" si="3"/>
        <v>22085</v>
      </c>
      <c r="L6" s="184">
        <f t="shared" si="4"/>
        <v>23.113553113553113</v>
      </c>
      <c r="M6" s="108">
        <v>132</v>
      </c>
      <c r="N6" s="175" t="s">
        <v>418</v>
      </c>
      <c r="O6" s="185" t="s">
        <v>330</v>
      </c>
      <c r="P6" s="186" t="s">
        <v>417</v>
      </c>
    </row>
    <row r="7" spans="1:16" ht="36" customHeight="1" x14ac:dyDescent="0.2">
      <c r="A7" s="84" t="s">
        <v>263</v>
      </c>
      <c r="B7" s="175" t="s">
        <v>417</v>
      </c>
      <c r="C7" s="86">
        <v>100100</v>
      </c>
      <c r="D7" s="176">
        <v>112112</v>
      </c>
      <c r="E7" s="177">
        <f t="shared" si="0"/>
        <v>-10.714285714285714</v>
      </c>
      <c r="F7" s="86">
        <v>33500</v>
      </c>
      <c r="G7" s="97">
        <f t="shared" si="1"/>
        <v>66600</v>
      </c>
      <c r="H7" s="178">
        <f t="shared" si="2"/>
        <v>66.533466533466537</v>
      </c>
      <c r="I7" s="86">
        <v>22500</v>
      </c>
      <c r="J7" s="86">
        <v>22930</v>
      </c>
      <c r="K7" s="179">
        <f t="shared" si="3"/>
        <v>21170</v>
      </c>
      <c r="L7" s="178">
        <f t="shared" si="4"/>
        <v>21.148851148851151</v>
      </c>
      <c r="M7" s="110">
        <v>135</v>
      </c>
      <c r="N7" s="175" t="s">
        <v>418</v>
      </c>
      <c r="O7" s="180" t="s">
        <v>331</v>
      </c>
      <c r="P7" s="181" t="s">
        <v>417</v>
      </c>
    </row>
    <row r="8" spans="1:16" ht="36" customHeight="1" x14ac:dyDescent="0.2">
      <c r="A8" s="88" t="s">
        <v>264</v>
      </c>
      <c r="B8" s="175" t="s">
        <v>417</v>
      </c>
      <c r="C8" s="90">
        <v>93780</v>
      </c>
      <c r="D8" s="182">
        <v>105034</v>
      </c>
      <c r="E8" s="183">
        <f t="shared" si="0"/>
        <v>-10.714625740236494</v>
      </c>
      <c r="F8" s="90">
        <v>32000</v>
      </c>
      <c r="G8" s="104">
        <f t="shared" si="1"/>
        <v>61780</v>
      </c>
      <c r="H8" s="184">
        <f t="shared" si="2"/>
        <v>65.877585839198133</v>
      </c>
      <c r="I8" s="90">
        <v>22000</v>
      </c>
      <c r="J8" s="90">
        <v>18432</v>
      </c>
      <c r="K8" s="179">
        <f t="shared" si="3"/>
        <v>21348</v>
      </c>
      <c r="L8" s="184">
        <f t="shared" si="4"/>
        <v>22.763915547024951</v>
      </c>
      <c r="M8" s="108">
        <v>136</v>
      </c>
      <c r="N8" s="175" t="s">
        <v>418</v>
      </c>
      <c r="O8" s="185" t="s">
        <v>332</v>
      </c>
      <c r="P8" s="186" t="s">
        <v>417</v>
      </c>
    </row>
    <row r="9" spans="1:16" ht="36" customHeight="1" x14ac:dyDescent="0.2">
      <c r="A9" s="84" t="s">
        <v>265</v>
      </c>
      <c r="B9" s="175" t="s">
        <v>417</v>
      </c>
      <c r="C9" s="86">
        <v>100300</v>
      </c>
      <c r="D9" s="176">
        <v>112336</v>
      </c>
      <c r="E9" s="177">
        <f t="shared" si="0"/>
        <v>-10.714285714285714</v>
      </c>
      <c r="F9" s="86">
        <v>34000</v>
      </c>
      <c r="G9" s="97">
        <f t="shared" si="1"/>
        <v>66300</v>
      </c>
      <c r="H9" s="178">
        <f t="shared" si="2"/>
        <v>66.101694915254242</v>
      </c>
      <c r="I9" s="86">
        <v>22500</v>
      </c>
      <c r="J9" s="86">
        <v>22408</v>
      </c>
      <c r="K9" s="179">
        <f t="shared" si="3"/>
        <v>21392</v>
      </c>
      <c r="L9" s="178">
        <f t="shared" si="4"/>
        <v>21.32801595214357</v>
      </c>
      <c r="M9" s="110">
        <v>139</v>
      </c>
      <c r="N9" s="175" t="s">
        <v>418</v>
      </c>
      <c r="O9" s="180" t="s">
        <v>333</v>
      </c>
      <c r="P9" s="181" t="s">
        <v>417</v>
      </c>
    </row>
    <row r="10" spans="1:16" ht="36" customHeight="1" x14ac:dyDescent="0.2">
      <c r="A10" s="88" t="s">
        <v>266</v>
      </c>
      <c r="B10" s="175" t="s">
        <v>417</v>
      </c>
      <c r="C10" s="90">
        <v>103600</v>
      </c>
      <c r="D10" s="182">
        <v>116032</v>
      </c>
      <c r="E10" s="183">
        <f t="shared" si="0"/>
        <v>-10.714285714285714</v>
      </c>
      <c r="F10" s="90">
        <v>35000</v>
      </c>
      <c r="G10" s="104">
        <f t="shared" si="1"/>
        <v>68600</v>
      </c>
      <c r="H10" s="184">
        <f t="shared" si="2"/>
        <v>66.21621621621621</v>
      </c>
      <c r="I10" s="90">
        <v>23000</v>
      </c>
      <c r="J10" s="90">
        <v>23865</v>
      </c>
      <c r="K10" s="179">
        <f t="shared" si="3"/>
        <v>21735</v>
      </c>
      <c r="L10" s="184">
        <f t="shared" si="4"/>
        <v>20.97972972972973</v>
      </c>
      <c r="M10" s="108">
        <v>141</v>
      </c>
      <c r="N10" s="175" t="s">
        <v>418</v>
      </c>
      <c r="O10" s="185" t="s">
        <v>334</v>
      </c>
      <c r="P10" s="186" t="s">
        <v>417</v>
      </c>
    </row>
    <row r="11" spans="1:16" ht="36" customHeight="1" x14ac:dyDescent="0.2">
      <c r="A11" s="84" t="s">
        <v>267</v>
      </c>
      <c r="B11" s="175" t="s">
        <v>417</v>
      </c>
      <c r="C11" s="86">
        <v>101190</v>
      </c>
      <c r="D11" s="176">
        <v>113333</v>
      </c>
      <c r="E11" s="177">
        <f t="shared" si="0"/>
        <v>-10.714443277774347</v>
      </c>
      <c r="F11" s="86">
        <v>34500</v>
      </c>
      <c r="G11" s="97">
        <f t="shared" si="1"/>
        <v>66690</v>
      </c>
      <c r="H11" s="178">
        <f t="shared" si="2"/>
        <v>65.905721909279563</v>
      </c>
      <c r="I11" s="86">
        <v>22500</v>
      </c>
      <c r="J11" s="86">
        <v>23027</v>
      </c>
      <c r="K11" s="179">
        <f t="shared" si="3"/>
        <v>21163</v>
      </c>
      <c r="L11" s="178">
        <f t="shared" si="4"/>
        <v>20.914121948809168</v>
      </c>
      <c r="M11" s="110">
        <v>143</v>
      </c>
      <c r="N11" s="175" t="s">
        <v>418</v>
      </c>
      <c r="O11" s="180" t="s">
        <v>335</v>
      </c>
      <c r="P11" s="181" t="s">
        <v>417</v>
      </c>
    </row>
    <row r="12" spans="1:16" ht="36" customHeight="1" x14ac:dyDescent="0.2">
      <c r="A12" s="88" t="s">
        <v>268</v>
      </c>
      <c r="B12" s="175" t="s">
        <v>417</v>
      </c>
      <c r="C12" s="90">
        <v>104570</v>
      </c>
      <c r="D12" s="182">
        <v>117118</v>
      </c>
      <c r="E12" s="183">
        <f t="shared" si="0"/>
        <v>-10.713980771529569</v>
      </c>
      <c r="F12" s="90">
        <v>35500</v>
      </c>
      <c r="G12" s="104">
        <f t="shared" si="1"/>
        <v>69070</v>
      </c>
      <c r="H12" s="184">
        <f t="shared" si="2"/>
        <v>66.051448790284013</v>
      </c>
      <c r="I12" s="90">
        <v>23000</v>
      </c>
      <c r="J12" s="90">
        <v>24492</v>
      </c>
      <c r="K12" s="179">
        <f t="shared" si="3"/>
        <v>21578</v>
      </c>
      <c r="L12" s="184">
        <f t="shared" si="4"/>
        <v>20.634981352204264</v>
      </c>
      <c r="M12" s="108">
        <v>145</v>
      </c>
      <c r="N12" s="175" t="s">
        <v>418</v>
      </c>
      <c r="O12" s="185" t="s">
        <v>336</v>
      </c>
      <c r="P12" s="186" t="s">
        <v>417</v>
      </c>
    </row>
    <row r="13" spans="1:16" ht="36" customHeight="1" x14ac:dyDescent="0.2">
      <c r="A13" s="119" t="s">
        <v>269</v>
      </c>
      <c r="B13" s="175" t="s">
        <v>417</v>
      </c>
      <c r="C13" s="120">
        <v>107070</v>
      </c>
      <c r="D13" s="187">
        <v>119918</v>
      </c>
      <c r="E13" s="188">
        <f t="shared" si="0"/>
        <v>-10.713987891726012</v>
      </c>
      <c r="F13" s="123">
        <v>36000</v>
      </c>
      <c r="G13" s="189">
        <f t="shared" si="1"/>
        <v>71070</v>
      </c>
      <c r="H13" s="190">
        <f t="shared" si="2"/>
        <v>66.377136452787894</v>
      </c>
      <c r="I13" s="123">
        <v>23500</v>
      </c>
      <c r="J13" s="123">
        <v>25460</v>
      </c>
      <c r="K13" s="179">
        <f t="shared" si="3"/>
        <v>22110</v>
      </c>
      <c r="L13" s="190">
        <f t="shared" si="4"/>
        <v>20.650042028579435</v>
      </c>
      <c r="M13" s="126">
        <v>147</v>
      </c>
      <c r="N13" s="175" t="s">
        <v>418</v>
      </c>
      <c r="O13" s="191" t="s">
        <v>337</v>
      </c>
      <c r="P13" s="192" t="s">
        <v>417</v>
      </c>
    </row>
    <row r="14" spans="1:16" ht="36" customHeight="1" x14ac:dyDescent="0.2">
      <c r="A14" s="193" t="s">
        <v>419</v>
      </c>
      <c r="B14" s="194" t="s">
        <v>420</v>
      </c>
      <c r="C14" s="195">
        <v>110000</v>
      </c>
      <c r="D14" s="196">
        <v>123200</v>
      </c>
      <c r="E14" s="197">
        <f t="shared" si="0"/>
        <v>-10.714285714285714</v>
      </c>
      <c r="F14" s="195">
        <v>37000</v>
      </c>
      <c r="G14" s="198">
        <f t="shared" si="1"/>
        <v>73000</v>
      </c>
      <c r="H14" s="199">
        <f t="shared" si="2"/>
        <v>66.363636363636374</v>
      </c>
      <c r="I14" s="195">
        <v>24000</v>
      </c>
      <c r="J14" s="195">
        <v>26500</v>
      </c>
      <c r="K14" s="179">
        <f t="shared" si="3"/>
        <v>22500</v>
      </c>
      <c r="L14" s="199">
        <f t="shared" si="4"/>
        <v>20.454545454545457</v>
      </c>
      <c r="M14" s="200">
        <v>142</v>
      </c>
      <c r="N14" s="194" t="s">
        <v>421</v>
      </c>
      <c r="O14" s="201" t="s">
        <v>422</v>
      </c>
      <c r="P14" s="202" t="s">
        <v>423</v>
      </c>
    </row>
    <row r="15" spans="1:16" ht="36" customHeight="1" x14ac:dyDescent="0.2">
      <c r="A15" s="193" t="s">
        <v>424</v>
      </c>
      <c r="B15" s="194" t="s">
        <v>420</v>
      </c>
      <c r="C15" s="195">
        <v>113000</v>
      </c>
      <c r="D15" s="196">
        <v>126560</v>
      </c>
      <c r="E15" s="197">
        <f t="shared" si="0"/>
        <v>-10.714285714285714</v>
      </c>
      <c r="F15" s="195">
        <v>38000</v>
      </c>
      <c r="G15" s="198">
        <f t="shared" si="1"/>
        <v>75000</v>
      </c>
      <c r="H15" s="199">
        <f t="shared" si="2"/>
        <v>66.371681415929203</v>
      </c>
      <c r="I15" s="195">
        <v>24000</v>
      </c>
      <c r="J15" s="195">
        <v>27000</v>
      </c>
      <c r="K15" s="179">
        <f t="shared" si="3"/>
        <v>24000</v>
      </c>
      <c r="L15" s="199">
        <f t="shared" si="4"/>
        <v>21.238938053097346</v>
      </c>
      <c r="M15" s="200">
        <v>144</v>
      </c>
      <c r="N15" s="194" t="s">
        <v>421</v>
      </c>
      <c r="O15" s="201" t="s">
        <v>422</v>
      </c>
      <c r="P15" s="202" t="s">
        <v>423</v>
      </c>
    </row>
    <row r="16" spans="1:16" ht="36" customHeight="1" x14ac:dyDescent="0.2">
      <c r="A16" s="193" t="s">
        <v>425</v>
      </c>
      <c r="B16" s="194" t="s">
        <v>420</v>
      </c>
      <c r="C16" s="195">
        <v>118000</v>
      </c>
      <c r="D16" s="196">
        <v>132160</v>
      </c>
      <c r="E16" s="197">
        <f t="shared" si="0"/>
        <v>-10.714285714285714</v>
      </c>
      <c r="F16" s="195">
        <v>40000</v>
      </c>
      <c r="G16" s="198">
        <f t="shared" si="1"/>
        <v>78000</v>
      </c>
      <c r="H16" s="199">
        <f t="shared" si="2"/>
        <v>66.101694915254242</v>
      </c>
      <c r="I16" s="195">
        <v>24500</v>
      </c>
      <c r="J16" s="195">
        <v>28000</v>
      </c>
      <c r="K16" s="179">
        <f t="shared" si="3"/>
        <v>25500</v>
      </c>
      <c r="L16" s="199">
        <f t="shared" si="4"/>
        <v>21.610169491525426</v>
      </c>
      <c r="M16" s="200">
        <v>146</v>
      </c>
      <c r="N16" s="194" t="s">
        <v>421</v>
      </c>
      <c r="O16" s="201" t="s">
        <v>426</v>
      </c>
      <c r="P16" s="202" t="s">
        <v>423</v>
      </c>
    </row>
    <row r="17" spans="1:12" ht="15" customHeight="1" x14ac:dyDescent="0.2">
      <c r="A17" s="105" t="s">
        <v>427</v>
      </c>
      <c r="C17" s="106">
        <f>SUM(C5:C16)</f>
        <v>1239460</v>
      </c>
      <c r="D17" s="106">
        <f>SUM(D5:D16)</f>
        <v>1388195</v>
      </c>
      <c r="F17" s="106">
        <f>SUM(F5:F16)</f>
        <v>418500</v>
      </c>
      <c r="G17" s="106">
        <f>SUM(G5:G16)</f>
        <v>820960</v>
      </c>
      <c r="H17" s="128">
        <f t="shared" si="2"/>
        <v>66.23529601600697</v>
      </c>
      <c r="I17" s="106">
        <f>SUM(I5:I16)</f>
        <v>275500</v>
      </c>
      <c r="J17" s="106">
        <f>SUM(J5:J16)</f>
        <v>278849</v>
      </c>
      <c r="K17" s="106">
        <f>SUM(K5:K16)</f>
        <v>266611</v>
      </c>
      <c r="L17" s="128">
        <f t="shared" si="4"/>
        <v>21.510254465654398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74C3C"/>
  </sheetPr>
  <dimension ref="A1:J21"/>
  <sheetViews>
    <sheetView showGridLines="0" zoomScaleNormal="100" workbookViewId="0">
      <pane ySplit="4" topLeftCell="A5" activePane="bottomLeft" state="frozen"/>
      <selection pane="bottomLeft" sqref="A1:J1"/>
    </sheetView>
  </sheetViews>
  <sheetFormatPr baseColWidth="10" defaultColWidth="8.6640625" defaultRowHeight="15" x14ac:dyDescent="0.2"/>
  <cols>
    <col min="1" max="1" width="8" customWidth="1"/>
    <col min="2" max="2" width="16" customWidth="1"/>
    <col min="3" max="3" width="14" customWidth="1"/>
    <col min="4" max="4" width="9" customWidth="1"/>
    <col min="5" max="6" width="18" customWidth="1"/>
    <col min="7" max="7" width="12" customWidth="1"/>
    <col min="8" max="8" width="13" customWidth="1"/>
    <col min="9" max="9" width="42" customWidth="1"/>
    <col min="10" max="10" width="9" customWidth="1"/>
  </cols>
  <sheetData>
    <row r="1" spans="1:10" ht="49.5" customHeight="1" x14ac:dyDescent="0.2">
      <c r="A1" s="11" t="s">
        <v>428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ht="21.75" customHeight="1" x14ac:dyDescent="0.2">
      <c r="A3" s="7" t="s">
        <v>429</v>
      </c>
      <c r="B3" s="7"/>
      <c r="C3" s="7"/>
      <c r="D3" s="7"/>
      <c r="E3" s="7"/>
      <c r="F3" s="7"/>
      <c r="G3" s="7"/>
      <c r="H3" s="7"/>
      <c r="I3" s="7"/>
      <c r="J3" s="7"/>
    </row>
    <row r="4" spans="1:10" ht="21.75" customHeight="1" x14ac:dyDescent="0.2">
      <c r="A4" s="171" t="s">
        <v>190</v>
      </c>
      <c r="B4" s="171" t="s">
        <v>11</v>
      </c>
      <c r="C4" s="171" t="s">
        <v>31</v>
      </c>
      <c r="D4" s="171" t="s">
        <v>430</v>
      </c>
      <c r="E4" s="171" t="s">
        <v>43</v>
      </c>
      <c r="F4" s="171" t="s">
        <v>431</v>
      </c>
      <c r="G4" s="171" t="s">
        <v>83</v>
      </c>
      <c r="H4" s="171" t="s">
        <v>432</v>
      </c>
      <c r="I4" s="171" t="s">
        <v>207</v>
      </c>
      <c r="J4" s="171" t="s">
        <v>433</v>
      </c>
    </row>
    <row r="5" spans="1:10" ht="15" customHeight="1" x14ac:dyDescent="0.2">
      <c r="A5" s="84" t="s">
        <v>261</v>
      </c>
      <c r="B5" s="86">
        <v>92300</v>
      </c>
      <c r="C5" s="86">
        <v>31000</v>
      </c>
      <c r="D5" s="178">
        <f t="shared" ref="D5:D14" si="0">C5/B5*100</f>
        <v>33.586132177681471</v>
      </c>
      <c r="E5" s="86">
        <v>22000</v>
      </c>
      <c r="F5" s="178">
        <f t="shared" ref="F5:F14" si="1">E5/B5*100</f>
        <v>23.835319609967499</v>
      </c>
      <c r="G5" s="86">
        <v>17270</v>
      </c>
      <c r="H5" s="178">
        <f t="shared" ref="H5:H14" si="2">G5/B5*100</f>
        <v>18.710725893824485</v>
      </c>
      <c r="I5" s="203">
        <f t="shared" ref="I5:I13" si="3">C5+E5+G5</f>
        <v>70270</v>
      </c>
      <c r="J5" s="178">
        <f t="shared" ref="J5:J14" si="4">I5/B5*100</f>
        <v>76.132177681473451</v>
      </c>
    </row>
    <row r="6" spans="1:10" ht="15" customHeight="1" x14ac:dyDescent="0.2">
      <c r="A6" s="88" t="s">
        <v>262</v>
      </c>
      <c r="B6" s="90">
        <v>95550</v>
      </c>
      <c r="C6" s="90">
        <v>32000</v>
      </c>
      <c r="D6" s="184">
        <f t="shared" si="0"/>
        <v>33.490319204604916</v>
      </c>
      <c r="E6" s="90">
        <v>22000</v>
      </c>
      <c r="F6" s="184">
        <f t="shared" si="1"/>
        <v>23.024594453165882</v>
      </c>
      <c r="G6" s="90">
        <v>19465</v>
      </c>
      <c r="H6" s="184">
        <f t="shared" si="2"/>
        <v>20.371533228676086</v>
      </c>
      <c r="I6" s="204">
        <f t="shared" si="3"/>
        <v>73465</v>
      </c>
      <c r="J6" s="184">
        <f t="shared" si="4"/>
        <v>76.88644688644689</v>
      </c>
    </row>
    <row r="7" spans="1:10" ht="15" customHeight="1" x14ac:dyDescent="0.2">
      <c r="A7" s="84" t="s">
        <v>263</v>
      </c>
      <c r="B7" s="86">
        <v>100100</v>
      </c>
      <c r="C7" s="86">
        <v>33500</v>
      </c>
      <c r="D7" s="178">
        <f t="shared" si="0"/>
        <v>33.466533466533463</v>
      </c>
      <c r="E7" s="86">
        <v>22500</v>
      </c>
      <c r="F7" s="178">
        <f t="shared" si="1"/>
        <v>22.477522477522477</v>
      </c>
      <c r="G7" s="86">
        <v>22930</v>
      </c>
      <c r="H7" s="178">
        <f t="shared" si="2"/>
        <v>22.907092907092906</v>
      </c>
      <c r="I7" s="203">
        <f t="shared" si="3"/>
        <v>78930</v>
      </c>
      <c r="J7" s="178">
        <f t="shared" si="4"/>
        <v>78.851148851148849</v>
      </c>
    </row>
    <row r="8" spans="1:10" ht="15" customHeight="1" x14ac:dyDescent="0.2">
      <c r="A8" s="88" t="s">
        <v>264</v>
      </c>
      <c r="B8" s="90">
        <v>93780</v>
      </c>
      <c r="C8" s="90">
        <v>32000</v>
      </c>
      <c r="D8" s="184">
        <f t="shared" si="0"/>
        <v>34.122414160801881</v>
      </c>
      <c r="E8" s="90">
        <v>22000</v>
      </c>
      <c r="F8" s="184">
        <f t="shared" si="1"/>
        <v>23.459159735551292</v>
      </c>
      <c r="G8" s="90">
        <v>18432</v>
      </c>
      <c r="H8" s="184">
        <f t="shared" si="2"/>
        <v>19.654510556621883</v>
      </c>
      <c r="I8" s="204">
        <f t="shared" si="3"/>
        <v>72432</v>
      </c>
      <c r="J8" s="184">
        <f t="shared" si="4"/>
        <v>77.236084452975049</v>
      </c>
    </row>
    <row r="9" spans="1:10" ht="15" customHeight="1" x14ac:dyDescent="0.2">
      <c r="A9" s="84" t="s">
        <v>265</v>
      </c>
      <c r="B9" s="86">
        <v>100300</v>
      </c>
      <c r="C9" s="86">
        <v>34000</v>
      </c>
      <c r="D9" s="178">
        <f t="shared" si="0"/>
        <v>33.898305084745758</v>
      </c>
      <c r="E9" s="86">
        <v>22500</v>
      </c>
      <c r="F9" s="178">
        <f t="shared" si="1"/>
        <v>22.432701894317049</v>
      </c>
      <c r="G9" s="86">
        <v>22408</v>
      </c>
      <c r="H9" s="178">
        <f t="shared" si="2"/>
        <v>22.34097706879362</v>
      </c>
      <c r="I9" s="203">
        <f t="shared" si="3"/>
        <v>78908</v>
      </c>
      <c r="J9" s="178">
        <f t="shared" si="4"/>
        <v>78.671984047856441</v>
      </c>
    </row>
    <row r="10" spans="1:10" ht="15" customHeight="1" x14ac:dyDescent="0.2">
      <c r="A10" s="88" t="s">
        <v>266</v>
      </c>
      <c r="B10" s="90">
        <v>103600</v>
      </c>
      <c r="C10" s="90">
        <v>35000</v>
      </c>
      <c r="D10" s="184">
        <f t="shared" si="0"/>
        <v>33.783783783783782</v>
      </c>
      <c r="E10" s="90">
        <v>23000</v>
      </c>
      <c r="F10" s="184">
        <f t="shared" si="1"/>
        <v>22.200772200772199</v>
      </c>
      <c r="G10" s="90">
        <v>23865</v>
      </c>
      <c r="H10" s="184">
        <f t="shared" si="2"/>
        <v>23.035714285714285</v>
      </c>
      <c r="I10" s="204">
        <f t="shared" si="3"/>
        <v>81865</v>
      </c>
      <c r="J10" s="184">
        <f t="shared" si="4"/>
        <v>79.02027027027026</v>
      </c>
    </row>
    <row r="11" spans="1:10" ht="15" customHeight="1" x14ac:dyDescent="0.2">
      <c r="A11" s="84" t="s">
        <v>267</v>
      </c>
      <c r="B11" s="86">
        <v>101190</v>
      </c>
      <c r="C11" s="86">
        <v>34500</v>
      </c>
      <c r="D11" s="178">
        <f t="shared" si="0"/>
        <v>34.094278090720422</v>
      </c>
      <c r="E11" s="86">
        <v>22500</v>
      </c>
      <c r="F11" s="178">
        <f t="shared" si="1"/>
        <v>22.23539875481767</v>
      </c>
      <c r="G11" s="86">
        <v>23027</v>
      </c>
      <c r="H11" s="178">
        <f t="shared" si="2"/>
        <v>22.756201205652733</v>
      </c>
      <c r="I11" s="203">
        <f t="shared" si="3"/>
        <v>80027</v>
      </c>
      <c r="J11" s="178">
        <f t="shared" si="4"/>
        <v>79.085878051190832</v>
      </c>
    </row>
    <row r="12" spans="1:10" ht="15" customHeight="1" x14ac:dyDescent="0.2">
      <c r="A12" s="88" t="s">
        <v>268</v>
      </c>
      <c r="B12" s="90">
        <v>104570</v>
      </c>
      <c r="C12" s="90">
        <v>35500</v>
      </c>
      <c r="D12" s="184">
        <f t="shared" si="0"/>
        <v>33.94855120971598</v>
      </c>
      <c r="E12" s="90">
        <v>23000</v>
      </c>
      <c r="F12" s="184">
        <f t="shared" si="1"/>
        <v>21.994835995027255</v>
      </c>
      <c r="G12" s="90">
        <v>24492</v>
      </c>
      <c r="H12" s="184">
        <f t="shared" si="2"/>
        <v>23.421631443052501</v>
      </c>
      <c r="I12" s="204">
        <f t="shared" si="3"/>
        <v>82992</v>
      </c>
      <c r="J12" s="184">
        <f t="shared" si="4"/>
        <v>79.365018647795736</v>
      </c>
    </row>
    <row r="13" spans="1:10" ht="15" customHeight="1" x14ac:dyDescent="0.2">
      <c r="A13" s="119" t="s">
        <v>269</v>
      </c>
      <c r="B13" s="120">
        <v>107070</v>
      </c>
      <c r="C13" s="123">
        <v>36000</v>
      </c>
      <c r="D13" s="190">
        <f t="shared" si="0"/>
        <v>33.622863547212106</v>
      </c>
      <c r="E13" s="123">
        <v>23500</v>
      </c>
      <c r="F13" s="190">
        <f t="shared" si="1"/>
        <v>21.948258148874569</v>
      </c>
      <c r="G13" s="123">
        <v>25460</v>
      </c>
      <c r="H13" s="190">
        <f t="shared" si="2"/>
        <v>23.778836275333894</v>
      </c>
      <c r="I13" s="205">
        <f t="shared" si="3"/>
        <v>84960</v>
      </c>
      <c r="J13" s="190">
        <f t="shared" si="4"/>
        <v>79.349957971420565</v>
      </c>
    </row>
    <row r="14" spans="1:10" ht="15" customHeight="1" x14ac:dyDescent="0.2">
      <c r="A14" s="105" t="s">
        <v>434</v>
      </c>
      <c r="B14" s="106">
        <f>SUM(B5:B13)</f>
        <v>898460</v>
      </c>
      <c r="C14" s="106">
        <f>SUM(C5:C13)</f>
        <v>303500</v>
      </c>
      <c r="D14" s="128">
        <f t="shared" si="0"/>
        <v>33.780023595930814</v>
      </c>
      <c r="E14" s="106">
        <f>SUM(E5:E13)</f>
        <v>203000</v>
      </c>
      <c r="F14" s="128">
        <f t="shared" si="1"/>
        <v>22.594216770919129</v>
      </c>
      <c r="G14" s="106">
        <f>SUM(G5:G13)</f>
        <v>197349</v>
      </c>
      <c r="H14" s="128">
        <f t="shared" si="2"/>
        <v>21.965251652828172</v>
      </c>
      <c r="I14" s="106">
        <f>SUM(I5:I13)</f>
        <v>703849</v>
      </c>
      <c r="J14" s="128">
        <f t="shared" si="4"/>
        <v>78.339492019678119</v>
      </c>
    </row>
    <row r="16" spans="1:10" ht="15" customHeight="1" x14ac:dyDescent="0.2">
      <c r="A16" s="7" t="s">
        <v>435</v>
      </c>
      <c r="B16" s="7"/>
      <c r="C16" s="7"/>
      <c r="D16" s="7"/>
      <c r="E16" s="7"/>
      <c r="F16" s="7"/>
      <c r="G16" s="7"/>
      <c r="H16" s="7"/>
      <c r="I16" s="7"/>
      <c r="J16" s="7"/>
    </row>
    <row r="17" spans="1:10" ht="15" customHeight="1" x14ac:dyDescent="0.2">
      <c r="A17" s="206" t="s">
        <v>159</v>
      </c>
      <c r="B17" s="206" t="s">
        <v>202</v>
      </c>
      <c r="C17" s="206" t="s">
        <v>194</v>
      </c>
      <c r="D17" s="206" t="s">
        <v>436</v>
      </c>
      <c r="E17" s="206" t="s">
        <v>437</v>
      </c>
      <c r="F17" s="206" t="s">
        <v>438</v>
      </c>
      <c r="G17" s="206" t="s">
        <v>439</v>
      </c>
      <c r="H17" s="206" t="s">
        <v>440</v>
      </c>
      <c r="I17" s="206" t="s">
        <v>441</v>
      </c>
      <c r="J17" s="206" t="s">
        <v>442</v>
      </c>
    </row>
    <row r="18" spans="1:10" ht="36" customHeight="1" x14ac:dyDescent="0.2">
      <c r="A18" s="207" t="s">
        <v>171</v>
      </c>
      <c r="B18" s="207" t="s">
        <v>443</v>
      </c>
      <c r="C18" s="90">
        <v>9500</v>
      </c>
      <c r="D18" s="108">
        <v>41.3</v>
      </c>
      <c r="E18" s="90">
        <v>38000</v>
      </c>
      <c r="F18" s="102">
        <v>28500</v>
      </c>
      <c r="G18" s="208" t="s">
        <v>444</v>
      </c>
      <c r="H18" s="207" t="s">
        <v>445</v>
      </c>
      <c r="I18" s="148" t="s">
        <v>446</v>
      </c>
      <c r="J18" s="209" t="s">
        <v>375</v>
      </c>
    </row>
    <row r="19" spans="1:10" ht="36" customHeight="1" x14ac:dyDescent="0.2">
      <c r="A19" s="210" t="s">
        <v>216</v>
      </c>
      <c r="B19" s="210" t="s">
        <v>217</v>
      </c>
      <c r="C19" s="86">
        <v>6100</v>
      </c>
      <c r="D19" s="110">
        <v>26.5</v>
      </c>
      <c r="E19" s="86">
        <v>55000</v>
      </c>
      <c r="F19" s="95">
        <v>48900</v>
      </c>
      <c r="G19" s="211" t="s">
        <v>447</v>
      </c>
      <c r="H19" s="210" t="s">
        <v>448</v>
      </c>
      <c r="I19" s="147" t="s">
        <v>449</v>
      </c>
      <c r="J19" s="212" t="s">
        <v>281</v>
      </c>
    </row>
    <row r="20" spans="1:10" ht="36" customHeight="1" x14ac:dyDescent="0.2">
      <c r="A20" s="207" t="s">
        <v>174</v>
      </c>
      <c r="B20" s="207" t="s">
        <v>220</v>
      </c>
      <c r="C20" s="90">
        <v>4800</v>
      </c>
      <c r="D20" s="108">
        <v>20.9</v>
      </c>
      <c r="E20" s="90">
        <v>0</v>
      </c>
      <c r="F20" s="102">
        <v>-4800</v>
      </c>
      <c r="G20" s="213" t="s">
        <v>450</v>
      </c>
      <c r="H20" s="207" t="s">
        <v>445</v>
      </c>
      <c r="I20" s="148" t="s">
        <v>451</v>
      </c>
      <c r="J20" s="209" t="s">
        <v>375</v>
      </c>
    </row>
    <row r="21" spans="1:10" ht="36" customHeight="1" x14ac:dyDescent="0.2">
      <c r="A21" s="210" t="s">
        <v>452</v>
      </c>
      <c r="B21" s="210" t="s">
        <v>453</v>
      </c>
      <c r="C21" s="86">
        <v>3100</v>
      </c>
      <c r="D21" s="110">
        <v>13.5</v>
      </c>
      <c r="E21" s="86">
        <v>14070</v>
      </c>
      <c r="F21" s="95">
        <v>10970</v>
      </c>
      <c r="G21" s="208" t="s">
        <v>444</v>
      </c>
      <c r="H21" s="210" t="s">
        <v>454</v>
      </c>
      <c r="I21" s="147" t="s">
        <v>455</v>
      </c>
      <c r="J21" s="212" t="s">
        <v>296</v>
      </c>
    </row>
  </sheetData>
  <mergeCells count="3">
    <mergeCell ref="A1:J1"/>
    <mergeCell ref="A3:J3"/>
    <mergeCell ref="A16:J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F3460"/>
  </sheetPr>
  <dimension ref="A1:O28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N1"/>
    </sheetView>
  </sheetViews>
  <sheetFormatPr baseColWidth="10" defaultColWidth="8.6640625" defaultRowHeight="15" x14ac:dyDescent="0.2"/>
  <cols>
    <col min="1" max="1" width="4" customWidth="1"/>
    <col min="2" max="2" width="38" customWidth="1"/>
    <col min="3" max="15" width="16" customWidth="1"/>
  </cols>
  <sheetData>
    <row r="1" spans="1:15" ht="30" customHeight="1" x14ac:dyDescent="0.2">
      <c r="A1" s="14" t="s">
        <v>456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5" ht="21.75" customHeight="1" x14ac:dyDescent="0.2">
      <c r="A2" s="15" t="s">
        <v>457</v>
      </c>
      <c r="B2" s="15" t="s">
        <v>458</v>
      </c>
      <c r="C2" s="15" t="s">
        <v>261</v>
      </c>
      <c r="D2" s="15" t="s">
        <v>262</v>
      </c>
      <c r="E2" s="15" t="s">
        <v>263</v>
      </c>
      <c r="F2" s="15" t="s">
        <v>264</v>
      </c>
      <c r="G2" s="15" t="s">
        <v>265</v>
      </c>
      <c r="H2" s="15" t="s">
        <v>266</v>
      </c>
      <c r="I2" s="15" t="s">
        <v>267</v>
      </c>
      <c r="J2" s="15" t="s">
        <v>268</v>
      </c>
      <c r="K2" s="15" t="s">
        <v>269</v>
      </c>
      <c r="L2" s="15" t="s">
        <v>419</v>
      </c>
      <c r="M2" s="15" t="s">
        <v>424</v>
      </c>
      <c r="N2" s="15" t="s">
        <v>425</v>
      </c>
      <c r="O2" s="214" t="s">
        <v>459</v>
      </c>
    </row>
    <row r="3" spans="1:15" ht="18" customHeight="1" x14ac:dyDescent="0.2">
      <c r="A3" s="215" t="s">
        <v>460</v>
      </c>
      <c r="B3" s="216" t="s">
        <v>461</v>
      </c>
      <c r="C3" s="217">
        <f>IFERROR(SUMIFS('01_Saldenlisten_Import'!$J:$J,'01_Saldenlisten_Import'!$A:$A,"2025-01",'01_Saldenlisten_Import'!$B:$B,"Mustermann GmbH",'01_Saldenlisten_Import'!$F:$F,"Umsatz"),0)</f>
        <v>92300</v>
      </c>
      <c r="D3" s="217">
        <f>IFERROR(SUMIFS('01_Saldenlisten_Import'!$J:$J,'01_Saldenlisten_Import'!$A:$A,"2025-02",'01_Saldenlisten_Import'!$B:$B,"Mustermann GmbH",'01_Saldenlisten_Import'!$F:$F,"Umsatz"),0)</f>
        <v>95550</v>
      </c>
      <c r="E3" s="217">
        <f>IFERROR(SUMIFS('01_Saldenlisten_Import'!$J:$J,'01_Saldenlisten_Import'!$A:$A,"2025-03",'01_Saldenlisten_Import'!$B:$B,"Mustermann GmbH",'01_Saldenlisten_Import'!$F:$F,"Umsatz"),0)</f>
        <v>100100</v>
      </c>
      <c r="F3" s="217">
        <f>IFERROR(SUMIFS('01_Saldenlisten_Import'!$J:$J,'01_Saldenlisten_Import'!$A:$A,"2025-04",'01_Saldenlisten_Import'!$B:$B,"Mustermann GmbH",'01_Saldenlisten_Import'!$F:$F,"Umsatz"),0)</f>
        <v>93780</v>
      </c>
      <c r="G3" s="217">
        <f>IFERROR(SUMIFS('01_Saldenlisten_Import'!$J:$J,'01_Saldenlisten_Import'!$A:$A,"2025-05",'01_Saldenlisten_Import'!$B:$B,"Mustermann GmbH",'01_Saldenlisten_Import'!$F:$F,"Umsatz"),0)</f>
        <v>100300</v>
      </c>
      <c r="H3" s="217">
        <f>IFERROR(SUMIFS('01_Saldenlisten_Import'!$J:$J,'01_Saldenlisten_Import'!$A:$A,"2025-06",'01_Saldenlisten_Import'!$B:$B,"Mustermann GmbH",'01_Saldenlisten_Import'!$F:$F,"Umsatz"),0)</f>
        <v>103600</v>
      </c>
      <c r="I3" s="217">
        <f>IFERROR(SUMIFS('01_Saldenlisten_Import'!$J:$J,'01_Saldenlisten_Import'!$A:$A,"2025-07",'01_Saldenlisten_Import'!$B:$B,"Mustermann GmbH",'01_Saldenlisten_Import'!$F:$F,"Umsatz"),0)</f>
        <v>101190</v>
      </c>
      <c r="J3" s="217">
        <f>IFERROR(SUMIFS('01_Saldenlisten_Import'!$J:$J,'01_Saldenlisten_Import'!$A:$A,"2025-08",'01_Saldenlisten_Import'!$B:$B,"Mustermann GmbH",'01_Saldenlisten_Import'!$F:$F,"Umsatz"),0)</f>
        <v>104570</v>
      </c>
      <c r="K3" s="217">
        <f>IFERROR(SUMIFS('01_Saldenlisten_Import'!$J:$J,'01_Saldenlisten_Import'!$A:$A,"2025-09",'01_Saldenlisten_Import'!$B:$B,"Mustermann GmbH",'01_Saldenlisten_Import'!$F:$F,"Umsatz"),0)</f>
        <v>107070</v>
      </c>
      <c r="L3" s="217">
        <f>IFERROR(SUMIFS('01_Saldenlisten_Import'!$J:$J,'01_Saldenlisten_Import'!$A:$A,"2025-10",'01_Saldenlisten_Import'!$B:$B,"Mustermann GmbH",'01_Saldenlisten_Import'!$F:$F,"Umsatz"),0)</f>
        <v>110000</v>
      </c>
      <c r="M3" s="217">
        <f>IFERROR(SUMIFS('01_Saldenlisten_Import'!$J:$J,'01_Saldenlisten_Import'!$A:$A,"2025-11",'01_Saldenlisten_Import'!$B:$B,"Mustermann GmbH",'01_Saldenlisten_Import'!$F:$F,"Umsatz"),0)</f>
        <v>113000</v>
      </c>
      <c r="N3" s="217">
        <f>IFERROR(SUMIFS('01_Saldenlisten_Import'!$J:$J,'01_Saldenlisten_Import'!$A:$A,"2025-12",'01_Saldenlisten_Import'!$B:$B,"Mustermann GmbH",'01_Saldenlisten_Import'!$F:$F,"Umsatz"),0)</f>
        <v>118000</v>
      </c>
      <c r="O3" s="218">
        <f>IFERROR(SUM(C3:N3),0)</f>
        <v>1239460</v>
      </c>
    </row>
    <row r="4" spans="1:15" ht="18" customHeight="1" x14ac:dyDescent="0.2">
      <c r="A4" s="215" t="s">
        <v>462</v>
      </c>
      <c r="B4" s="216" t="s">
        <v>463</v>
      </c>
      <c r="C4" s="217">
        <f>IFERROR(SUMIFS('01_Saldenlisten_Import'!$J:$J,'01_Saldenlisten_Import'!$A:$A,"2025-01",'01_Saldenlisten_Import'!$B:$B,"Mustermann GmbH",'01_Saldenlisten_Import'!$F:$F,"Sonstige Erlöse"),0)</f>
        <v>0</v>
      </c>
      <c r="D4" s="217">
        <f>IFERROR(SUMIFS('01_Saldenlisten_Import'!$J:$J,'01_Saldenlisten_Import'!$A:$A,"2025-02",'01_Saldenlisten_Import'!$B:$B,"Mustermann GmbH",'01_Saldenlisten_Import'!$F:$F,"Sonstige Erlöse"),0)</f>
        <v>0</v>
      </c>
      <c r="E4" s="217">
        <f>IFERROR(SUMIFS('01_Saldenlisten_Import'!$J:$J,'01_Saldenlisten_Import'!$A:$A,"2025-03",'01_Saldenlisten_Import'!$B:$B,"Mustermann GmbH",'01_Saldenlisten_Import'!$F:$F,"Sonstige Erlöse"),0)</f>
        <v>0</v>
      </c>
      <c r="F4" s="217">
        <f>IFERROR(SUMIFS('01_Saldenlisten_Import'!$J:$J,'01_Saldenlisten_Import'!$A:$A,"2025-04",'01_Saldenlisten_Import'!$B:$B,"Mustermann GmbH",'01_Saldenlisten_Import'!$F:$F,"Sonstige Erlöse"),0)</f>
        <v>0</v>
      </c>
      <c r="G4" s="217">
        <f>IFERROR(SUMIFS('01_Saldenlisten_Import'!$J:$J,'01_Saldenlisten_Import'!$A:$A,"2025-05",'01_Saldenlisten_Import'!$B:$B,"Mustermann GmbH",'01_Saldenlisten_Import'!$F:$F,"Sonstige Erlöse"),0)</f>
        <v>0</v>
      </c>
      <c r="H4" s="217">
        <f>IFERROR(SUMIFS('01_Saldenlisten_Import'!$J:$J,'01_Saldenlisten_Import'!$A:$A,"2025-06",'01_Saldenlisten_Import'!$B:$B,"Mustermann GmbH",'01_Saldenlisten_Import'!$F:$F,"Sonstige Erlöse"),0)</f>
        <v>0</v>
      </c>
      <c r="I4" s="217">
        <f>IFERROR(SUMIFS('01_Saldenlisten_Import'!$J:$J,'01_Saldenlisten_Import'!$A:$A,"2025-07",'01_Saldenlisten_Import'!$B:$B,"Mustermann GmbH",'01_Saldenlisten_Import'!$F:$F,"Sonstige Erlöse"),0)</f>
        <v>0</v>
      </c>
      <c r="J4" s="217">
        <f>IFERROR(SUMIFS('01_Saldenlisten_Import'!$J:$J,'01_Saldenlisten_Import'!$A:$A,"2025-08",'01_Saldenlisten_Import'!$B:$B,"Mustermann GmbH",'01_Saldenlisten_Import'!$F:$F,"Sonstige Erlöse"),0)</f>
        <v>0</v>
      </c>
      <c r="K4" s="217">
        <f>IFERROR(SUMIFS('01_Saldenlisten_Import'!$J:$J,'01_Saldenlisten_Import'!$A:$A,"2025-09",'01_Saldenlisten_Import'!$B:$B,"Mustermann GmbH",'01_Saldenlisten_Import'!$F:$F,"Sonstige Erlöse"),0)</f>
        <v>0</v>
      </c>
      <c r="L4" s="217">
        <f>IFERROR(SUMIFS('01_Saldenlisten_Import'!$J:$J,'01_Saldenlisten_Import'!$A:$A,"2025-10",'01_Saldenlisten_Import'!$B:$B,"Mustermann GmbH",'01_Saldenlisten_Import'!$F:$F,"Sonstige Erlöse"),0)</f>
        <v>0</v>
      </c>
      <c r="M4" s="217">
        <f>IFERROR(SUMIFS('01_Saldenlisten_Import'!$J:$J,'01_Saldenlisten_Import'!$A:$A,"2025-11",'01_Saldenlisten_Import'!$B:$B,"Mustermann GmbH",'01_Saldenlisten_Import'!$F:$F,"Sonstige Erlöse"),0)</f>
        <v>0</v>
      </c>
      <c r="N4" s="217">
        <f>IFERROR(SUMIFS('01_Saldenlisten_Import'!$J:$J,'01_Saldenlisten_Import'!$A:$A,"2025-12",'01_Saldenlisten_Import'!$B:$B,"Mustermann GmbH",'01_Saldenlisten_Import'!$F:$F,"Sonstige Erlöse"),0)</f>
        <v>0</v>
      </c>
      <c r="O4" s="218">
        <f>IFERROR(SUM(C4:N4),0)</f>
        <v>0</v>
      </c>
    </row>
    <row r="5" spans="1:15" ht="19.5" customHeight="1" x14ac:dyDescent="0.2">
      <c r="A5" s="219" t="s">
        <v>464</v>
      </c>
      <c r="B5" s="220" t="s">
        <v>465</v>
      </c>
      <c r="C5" s="221">
        <f t="shared" ref="C5:N5" si="0">C3+C4</f>
        <v>92300</v>
      </c>
      <c r="D5" s="221">
        <f t="shared" si="0"/>
        <v>95550</v>
      </c>
      <c r="E5" s="221">
        <f t="shared" si="0"/>
        <v>100100</v>
      </c>
      <c r="F5" s="221">
        <f t="shared" si="0"/>
        <v>93780</v>
      </c>
      <c r="G5" s="221">
        <f t="shared" si="0"/>
        <v>100300</v>
      </c>
      <c r="H5" s="221">
        <f t="shared" si="0"/>
        <v>103600</v>
      </c>
      <c r="I5" s="221">
        <f t="shared" si="0"/>
        <v>101190</v>
      </c>
      <c r="J5" s="221">
        <f t="shared" si="0"/>
        <v>104570</v>
      </c>
      <c r="K5" s="221">
        <f t="shared" si="0"/>
        <v>107070</v>
      </c>
      <c r="L5" s="221">
        <f t="shared" si="0"/>
        <v>110000</v>
      </c>
      <c r="M5" s="221">
        <f t="shared" si="0"/>
        <v>113000</v>
      </c>
      <c r="N5" s="221">
        <f t="shared" si="0"/>
        <v>118000</v>
      </c>
      <c r="O5" s="222">
        <f>IFERROR(SUM(C5:N5),0)</f>
        <v>1239460</v>
      </c>
    </row>
    <row r="6" spans="1:15" ht="18" customHeight="1" x14ac:dyDescent="0.2">
      <c r="A6" s="223"/>
      <c r="B6" s="223"/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</row>
    <row r="7" spans="1:15" ht="18" customHeight="1" x14ac:dyDescent="0.2">
      <c r="A7" s="224" t="s">
        <v>466</v>
      </c>
      <c r="B7" s="225" t="s">
        <v>467</v>
      </c>
      <c r="C7" s="217">
        <f>IFERROR(SUMIFS('01_Saldenlisten_Import'!$J:$J,'01_Saldenlisten_Import'!$A:$A,"2025-01",'01_Saldenlisten_Import'!$B:$B,"Mustermann GmbH",'01_Saldenlisten_Import'!$F:$F,"Wareneinsatz"),0)</f>
        <v>31000</v>
      </c>
      <c r="D7" s="217">
        <f>IFERROR(SUMIFS('01_Saldenlisten_Import'!$J:$J,'01_Saldenlisten_Import'!$A:$A,"2025-02",'01_Saldenlisten_Import'!$B:$B,"Mustermann GmbH",'01_Saldenlisten_Import'!$F:$F,"Wareneinsatz"),0)</f>
        <v>32000</v>
      </c>
      <c r="E7" s="217">
        <f>IFERROR(SUMIFS('01_Saldenlisten_Import'!$J:$J,'01_Saldenlisten_Import'!$A:$A,"2025-03",'01_Saldenlisten_Import'!$B:$B,"Mustermann GmbH",'01_Saldenlisten_Import'!$F:$F,"Wareneinsatz"),0)</f>
        <v>33500</v>
      </c>
      <c r="F7" s="217">
        <f>IFERROR(SUMIFS('01_Saldenlisten_Import'!$J:$J,'01_Saldenlisten_Import'!$A:$A,"2025-04",'01_Saldenlisten_Import'!$B:$B,"Mustermann GmbH",'01_Saldenlisten_Import'!$F:$F,"Wareneinsatz"),0)</f>
        <v>32000</v>
      </c>
      <c r="G7" s="217">
        <f>IFERROR(SUMIFS('01_Saldenlisten_Import'!$J:$J,'01_Saldenlisten_Import'!$A:$A,"2025-05",'01_Saldenlisten_Import'!$B:$B,"Mustermann GmbH",'01_Saldenlisten_Import'!$F:$F,"Wareneinsatz"),0)</f>
        <v>34000</v>
      </c>
      <c r="H7" s="217">
        <f>IFERROR(SUMIFS('01_Saldenlisten_Import'!$J:$J,'01_Saldenlisten_Import'!$A:$A,"2025-06",'01_Saldenlisten_Import'!$B:$B,"Mustermann GmbH",'01_Saldenlisten_Import'!$F:$F,"Wareneinsatz"),0)</f>
        <v>35000</v>
      </c>
      <c r="I7" s="217">
        <f>IFERROR(SUMIFS('01_Saldenlisten_Import'!$J:$J,'01_Saldenlisten_Import'!$A:$A,"2025-07",'01_Saldenlisten_Import'!$B:$B,"Mustermann GmbH",'01_Saldenlisten_Import'!$F:$F,"Wareneinsatz"),0)</f>
        <v>34500</v>
      </c>
      <c r="J7" s="217">
        <f>IFERROR(SUMIFS('01_Saldenlisten_Import'!$J:$J,'01_Saldenlisten_Import'!$A:$A,"2025-08",'01_Saldenlisten_Import'!$B:$B,"Mustermann GmbH",'01_Saldenlisten_Import'!$F:$F,"Wareneinsatz"),0)</f>
        <v>35500</v>
      </c>
      <c r="K7" s="217">
        <f>IFERROR(SUMIFS('01_Saldenlisten_Import'!$J:$J,'01_Saldenlisten_Import'!$A:$A,"2025-09",'01_Saldenlisten_Import'!$B:$B,"Mustermann GmbH",'01_Saldenlisten_Import'!$F:$F,"Wareneinsatz"),0)</f>
        <v>36000</v>
      </c>
      <c r="L7" s="217">
        <f>IFERROR(SUMIFS('01_Saldenlisten_Import'!$J:$J,'01_Saldenlisten_Import'!$A:$A,"2025-10",'01_Saldenlisten_Import'!$B:$B,"Mustermann GmbH",'01_Saldenlisten_Import'!$F:$F,"Wareneinsatz"),0)</f>
        <v>37000</v>
      </c>
      <c r="M7" s="217">
        <f>IFERROR(SUMIFS('01_Saldenlisten_Import'!$J:$J,'01_Saldenlisten_Import'!$A:$A,"2025-11",'01_Saldenlisten_Import'!$B:$B,"Mustermann GmbH",'01_Saldenlisten_Import'!$F:$F,"Wareneinsatz"),0)</f>
        <v>38000</v>
      </c>
      <c r="N7" s="217">
        <f>IFERROR(SUMIFS('01_Saldenlisten_Import'!$J:$J,'01_Saldenlisten_Import'!$A:$A,"2025-12",'01_Saldenlisten_Import'!$B:$B,"Mustermann GmbH",'01_Saldenlisten_Import'!$F:$F,"Wareneinsatz"),0)</f>
        <v>40000</v>
      </c>
      <c r="O7" s="218">
        <f>IFERROR(SUM(C7:N7),0)</f>
        <v>418500</v>
      </c>
    </row>
    <row r="8" spans="1:15" ht="18" customHeight="1" x14ac:dyDescent="0.2">
      <c r="A8" s="224" t="s">
        <v>468</v>
      </c>
      <c r="B8" s="225" t="s">
        <v>469</v>
      </c>
      <c r="C8" s="217">
        <f>IFERROR(SUMIFS('01_Saldenlisten_Import'!$J:$J,'01_Saldenlisten_Import'!$A:$A,"2025-01",'01_Saldenlisten_Import'!$B:$B,"Mustermann GmbH",'01_Saldenlisten_Import'!$F:$F,"Fremdleistungen"),0)</f>
        <v>0</v>
      </c>
      <c r="D8" s="217">
        <f>IFERROR(SUMIFS('01_Saldenlisten_Import'!$J:$J,'01_Saldenlisten_Import'!$A:$A,"2025-02",'01_Saldenlisten_Import'!$B:$B,"Mustermann GmbH",'01_Saldenlisten_Import'!$F:$F,"Fremdleistungen"),0)</f>
        <v>0</v>
      </c>
      <c r="E8" s="217">
        <f>IFERROR(SUMIFS('01_Saldenlisten_Import'!$J:$J,'01_Saldenlisten_Import'!$A:$A,"2025-03",'01_Saldenlisten_Import'!$B:$B,"Mustermann GmbH",'01_Saldenlisten_Import'!$F:$F,"Fremdleistungen"),0)</f>
        <v>0</v>
      </c>
      <c r="F8" s="217">
        <f>IFERROR(SUMIFS('01_Saldenlisten_Import'!$J:$J,'01_Saldenlisten_Import'!$A:$A,"2025-04",'01_Saldenlisten_Import'!$B:$B,"Mustermann GmbH",'01_Saldenlisten_Import'!$F:$F,"Fremdleistungen"),0)</f>
        <v>0</v>
      </c>
      <c r="G8" s="217">
        <f>IFERROR(SUMIFS('01_Saldenlisten_Import'!$J:$J,'01_Saldenlisten_Import'!$A:$A,"2025-05",'01_Saldenlisten_Import'!$B:$B,"Mustermann GmbH",'01_Saldenlisten_Import'!$F:$F,"Fremdleistungen"),0)</f>
        <v>0</v>
      </c>
      <c r="H8" s="217">
        <f>IFERROR(SUMIFS('01_Saldenlisten_Import'!$J:$J,'01_Saldenlisten_Import'!$A:$A,"2025-06",'01_Saldenlisten_Import'!$B:$B,"Mustermann GmbH",'01_Saldenlisten_Import'!$F:$F,"Fremdleistungen"),0)</f>
        <v>0</v>
      </c>
      <c r="I8" s="217">
        <f>IFERROR(SUMIFS('01_Saldenlisten_Import'!$J:$J,'01_Saldenlisten_Import'!$A:$A,"2025-07",'01_Saldenlisten_Import'!$B:$B,"Mustermann GmbH",'01_Saldenlisten_Import'!$F:$F,"Fremdleistungen"),0)</f>
        <v>0</v>
      </c>
      <c r="J8" s="217">
        <f>IFERROR(SUMIFS('01_Saldenlisten_Import'!$J:$J,'01_Saldenlisten_Import'!$A:$A,"2025-08",'01_Saldenlisten_Import'!$B:$B,"Mustermann GmbH",'01_Saldenlisten_Import'!$F:$F,"Fremdleistungen"),0)</f>
        <v>0</v>
      </c>
      <c r="K8" s="217">
        <f>IFERROR(SUMIFS('01_Saldenlisten_Import'!$J:$J,'01_Saldenlisten_Import'!$A:$A,"2025-09",'01_Saldenlisten_Import'!$B:$B,"Mustermann GmbH",'01_Saldenlisten_Import'!$F:$F,"Fremdleistungen"),0)</f>
        <v>0</v>
      </c>
      <c r="L8" s="217">
        <f>IFERROR(SUMIFS('01_Saldenlisten_Import'!$J:$J,'01_Saldenlisten_Import'!$A:$A,"2025-10",'01_Saldenlisten_Import'!$B:$B,"Mustermann GmbH",'01_Saldenlisten_Import'!$F:$F,"Fremdleistungen"),0)</f>
        <v>0</v>
      </c>
      <c r="M8" s="217">
        <f>IFERROR(SUMIFS('01_Saldenlisten_Import'!$J:$J,'01_Saldenlisten_Import'!$A:$A,"2025-11",'01_Saldenlisten_Import'!$B:$B,"Mustermann GmbH",'01_Saldenlisten_Import'!$F:$F,"Fremdleistungen"),0)</f>
        <v>0</v>
      </c>
      <c r="N8" s="217">
        <f>IFERROR(SUMIFS('01_Saldenlisten_Import'!$J:$J,'01_Saldenlisten_Import'!$A:$A,"2025-12",'01_Saldenlisten_Import'!$B:$B,"Mustermann GmbH",'01_Saldenlisten_Import'!$F:$F,"Fremdleistungen"),0)</f>
        <v>0</v>
      </c>
      <c r="O8" s="218">
        <f>IFERROR(SUM(C8:N8),0)</f>
        <v>0</v>
      </c>
    </row>
    <row r="9" spans="1:15" ht="19.5" customHeight="1" x14ac:dyDescent="0.2">
      <c r="A9" s="226"/>
      <c r="B9" s="227" t="s">
        <v>470</v>
      </c>
      <c r="C9" s="228">
        <f t="shared" ref="C9:N9" si="1">C5-C7-C8</f>
        <v>61300</v>
      </c>
      <c r="D9" s="228">
        <f t="shared" si="1"/>
        <v>63550</v>
      </c>
      <c r="E9" s="228">
        <f t="shared" si="1"/>
        <v>66600</v>
      </c>
      <c r="F9" s="228">
        <f t="shared" si="1"/>
        <v>61780</v>
      </c>
      <c r="G9" s="228">
        <f t="shared" si="1"/>
        <v>66300</v>
      </c>
      <c r="H9" s="228">
        <f t="shared" si="1"/>
        <v>68600</v>
      </c>
      <c r="I9" s="228">
        <f t="shared" si="1"/>
        <v>66690</v>
      </c>
      <c r="J9" s="228">
        <f t="shared" si="1"/>
        <v>69070</v>
      </c>
      <c r="K9" s="228">
        <f t="shared" si="1"/>
        <v>71070</v>
      </c>
      <c r="L9" s="228">
        <f t="shared" si="1"/>
        <v>73000</v>
      </c>
      <c r="M9" s="228">
        <f t="shared" si="1"/>
        <v>75000</v>
      </c>
      <c r="N9" s="228">
        <f t="shared" si="1"/>
        <v>78000</v>
      </c>
      <c r="O9" s="222">
        <f>IFERROR(SUM(C9:N9),0)</f>
        <v>820960</v>
      </c>
    </row>
    <row r="10" spans="1:15" ht="18" customHeight="1" x14ac:dyDescent="0.2">
      <c r="A10" s="223"/>
      <c r="B10" s="223"/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  <c r="N10" s="223"/>
      <c r="O10" s="223"/>
    </row>
    <row r="11" spans="1:15" ht="18" customHeight="1" x14ac:dyDescent="0.2">
      <c r="A11" s="229" t="s">
        <v>471</v>
      </c>
      <c r="B11" s="230" t="s">
        <v>472</v>
      </c>
      <c r="C11" s="217">
        <f>IFERROR(SUMIFS('01_Saldenlisten_Import'!$J:$J,'01_Saldenlisten_Import'!$A:$A,"2025-01",'01_Saldenlisten_Import'!$B:$B,"Mustermann GmbH",'01_Saldenlisten_Import'!$F:$F,"Personal"),0)</f>
        <v>22000</v>
      </c>
      <c r="D11" s="217">
        <f>IFERROR(SUMIFS('01_Saldenlisten_Import'!$J:$J,'01_Saldenlisten_Import'!$A:$A,"2025-02",'01_Saldenlisten_Import'!$B:$B,"Mustermann GmbH",'01_Saldenlisten_Import'!$F:$F,"Personal"),0)</f>
        <v>22000</v>
      </c>
      <c r="E11" s="217">
        <f>IFERROR(SUMIFS('01_Saldenlisten_Import'!$J:$J,'01_Saldenlisten_Import'!$A:$A,"2025-03",'01_Saldenlisten_Import'!$B:$B,"Mustermann GmbH",'01_Saldenlisten_Import'!$F:$F,"Personal"),0)</f>
        <v>22500</v>
      </c>
      <c r="F11" s="217">
        <f>IFERROR(SUMIFS('01_Saldenlisten_Import'!$J:$J,'01_Saldenlisten_Import'!$A:$A,"2025-04",'01_Saldenlisten_Import'!$B:$B,"Mustermann GmbH",'01_Saldenlisten_Import'!$F:$F,"Personal"),0)</f>
        <v>22000</v>
      </c>
      <c r="G11" s="217">
        <f>IFERROR(SUMIFS('01_Saldenlisten_Import'!$J:$J,'01_Saldenlisten_Import'!$A:$A,"2025-05",'01_Saldenlisten_Import'!$B:$B,"Mustermann GmbH",'01_Saldenlisten_Import'!$F:$F,"Personal"),0)</f>
        <v>22500</v>
      </c>
      <c r="H11" s="217">
        <f>IFERROR(SUMIFS('01_Saldenlisten_Import'!$J:$J,'01_Saldenlisten_Import'!$A:$A,"2025-06",'01_Saldenlisten_Import'!$B:$B,"Mustermann GmbH",'01_Saldenlisten_Import'!$F:$F,"Personal"),0)</f>
        <v>23000</v>
      </c>
      <c r="I11" s="217">
        <f>IFERROR(SUMIFS('01_Saldenlisten_Import'!$J:$J,'01_Saldenlisten_Import'!$A:$A,"2025-07",'01_Saldenlisten_Import'!$B:$B,"Mustermann GmbH",'01_Saldenlisten_Import'!$F:$F,"Personal"),0)</f>
        <v>22500</v>
      </c>
      <c r="J11" s="217">
        <f>IFERROR(SUMIFS('01_Saldenlisten_Import'!$J:$J,'01_Saldenlisten_Import'!$A:$A,"2025-08",'01_Saldenlisten_Import'!$B:$B,"Mustermann GmbH",'01_Saldenlisten_Import'!$F:$F,"Personal"),0)</f>
        <v>23000</v>
      </c>
      <c r="K11" s="217">
        <f>IFERROR(SUMIFS('01_Saldenlisten_Import'!$J:$J,'01_Saldenlisten_Import'!$A:$A,"2025-09",'01_Saldenlisten_Import'!$B:$B,"Mustermann GmbH",'01_Saldenlisten_Import'!$F:$F,"Personal"),0)</f>
        <v>23500</v>
      </c>
      <c r="L11" s="217">
        <f>IFERROR(SUMIFS('01_Saldenlisten_Import'!$J:$J,'01_Saldenlisten_Import'!$A:$A,"2025-10",'01_Saldenlisten_Import'!$B:$B,"Mustermann GmbH",'01_Saldenlisten_Import'!$F:$F,"Personal"),0)</f>
        <v>24000</v>
      </c>
      <c r="M11" s="217">
        <f>IFERROR(SUMIFS('01_Saldenlisten_Import'!$J:$J,'01_Saldenlisten_Import'!$A:$A,"2025-11",'01_Saldenlisten_Import'!$B:$B,"Mustermann GmbH",'01_Saldenlisten_Import'!$F:$F,"Personal"),0)</f>
        <v>24000</v>
      </c>
      <c r="N11" s="217">
        <f>IFERROR(SUMIFS('01_Saldenlisten_Import'!$J:$J,'01_Saldenlisten_Import'!$A:$A,"2025-12",'01_Saldenlisten_Import'!$B:$B,"Mustermann GmbH",'01_Saldenlisten_Import'!$F:$F,"Personal"),0)</f>
        <v>24500</v>
      </c>
      <c r="O11" s="218">
        <f t="shared" ref="O11:O19" si="2">IFERROR(SUM(C11:N11),0)</f>
        <v>275500</v>
      </c>
    </row>
    <row r="12" spans="1:15" ht="18" customHeight="1" x14ac:dyDescent="0.2">
      <c r="A12" s="229" t="s">
        <v>245</v>
      </c>
      <c r="B12" s="230" t="s">
        <v>473</v>
      </c>
      <c r="C12" s="217">
        <f>IFERROR(SUMIFS('01_Saldenlisten_Import'!$J:$J,'01_Saldenlisten_Import'!$A:$A,"2025-01",'01_Saldenlisten_Import'!$B:$B,"Mustermann GmbH",'01_Saldenlisten_Import'!$F:$F,"Raumkosten"),0)</f>
        <v>4200</v>
      </c>
      <c r="D12" s="217">
        <f>IFERROR(SUMIFS('01_Saldenlisten_Import'!$J:$J,'01_Saldenlisten_Import'!$A:$A,"2025-02",'01_Saldenlisten_Import'!$B:$B,"Mustermann GmbH",'01_Saldenlisten_Import'!$F:$F,"Raumkosten"),0)</f>
        <v>4200</v>
      </c>
      <c r="E12" s="217">
        <f>IFERROR(SUMIFS('01_Saldenlisten_Import'!$J:$J,'01_Saldenlisten_Import'!$A:$A,"2025-03",'01_Saldenlisten_Import'!$B:$B,"Mustermann GmbH",'01_Saldenlisten_Import'!$F:$F,"Raumkosten"),0)</f>
        <v>4250</v>
      </c>
      <c r="F12" s="217">
        <f>IFERROR(SUMIFS('01_Saldenlisten_Import'!$J:$J,'01_Saldenlisten_Import'!$A:$A,"2025-04",'01_Saldenlisten_Import'!$B:$B,"Mustermann GmbH",'01_Saldenlisten_Import'!$F:$F,"Raumkosten"),0)</f>
        <v>4300</v>
      </c>
      <c r="G12" s="217">
        <f>IFERROR(SUMIFS('01_Saldenlisten_Import'!$J:$J,'01_Saldenlisten_Import'!$A:$A,"2025-05",'01_Saldenlisten_Import'!$B:$B,"Mustermann GmbH",'01_Saldenlisten_Import'!$F:$F,"Raumkosten"),0)</f>
        <v>4300</v>
      </c>
      <c r="H12" s="217">
        <f>IFERROR(SUMIFS('01_Saldenlisten_Import'!$J:$J,'01_Saldenlisten_Import'!$A:$A,"2025-06",'01_Saldenlisten_Import'!$B:$B,"Mustermann GmbH",'01_Saldenlisten_Import'!$F:$F,"Raumkosten"),0)</f>
        <v>4400</v>
      </c>
      <c r="I12" s="217">
        <f>IFERROR(SUMIFS('01_Saldenlisten_Import'!$J:$J,'01_Saldenlisten_Import'!$A:$A,"2025-07",'01_Saldenlisten_Import'!$B:$B,"Mustermann GmbH",'01_Saldenlisten_Import'!$F:$F,"Raumkosten"),0)</f>
        <v>4400</v>
      </c>
      <c r="J12" s="217">
        <f>IFERROR(SUMIFS('01_Saldenlisten_Import'!$J:$J,'01_Saldenlisten_Import'!$A:$A,"2025-08",'01_Saldenlisten_Import'!$B:$B,"Mustermann GmbH",'01_Saldenlisten_Import'!$F:$F,"Raumkosten"),0)</f>
        <v>4500</v>
      </c>
      <c r="K12" s="217">
        <f>IFERROR(SUMIFS('01_Saldenlisten_Import'!$J:$J,'01_Saldenlisten_Import'!$A:$A,"2025-09",'01_Saldenlisten_Import'!$B:$B,"Mustermann GmbH",'01_Saldenlisten_Import'!$F:$F,"Raumkosten"),0)</f>
        <v>4500</v>
      </c>
      <c r="L12" s="217">
        <f>IFERROR(SUMIFS('01_Saldenlisten_Import'!$J:$J,'01_Saldenlisten_Import'!$A:$A,"2025-10",'01_Saldenlisten_Import'!$B:$B,"Mustermann GmbH",'01_Saldenlisten_Import'!$F:$F,"Raumkosten"),0)</f>
        <v>4500</v>
      </c>
      <c r="M12" s="217">
        <f>IFERROR(SUMIFS('01_Saldenlisten_Import'!$J:$J,'01_Saldenlisten_Import'!$A:$A,"2025-11",'01_Saldenlisten_Import'!$B:$B,"Mustermann GmbH",'01_Saldenlisten_Import'!$F:$F,"Raumkosten"),0)</f>
        <v>4600</v>
      </c>
      <c r="N12" s="217">
        <f>IFERROR(SUMIFS('01_Saldenlisten_Import'!$J:$J,'01_Saldenlisten_Import'!$A:$A,"2025-12",'01_Saldenlisten_Import'!$B:$B,"Mustermann GmbH",'01_Saldenlisten_Import'!$F:$F,"Raumkosten"),0)</f>
        <v>4600</v>
      </c>
      <c r="O12" s="218">
        <f t="shared" si="2"/>
        <v>52750</v>
      </c>
    </row>
    <row r="13" spans="1:15" ht="18" customHeight="1" x14ac:dyDescent="0.2">
      <c r="A13" s="229" t="s">
        <v>474</v>
      </c>
      <c r="B13" s="230" t="s">
        <v>475</v>
      </c>
      <c r="C13" s="217">
        <f>IFERROR(SUMIFS('01_Saldenlisten_Import'!$J:$J,'01_Saldenlisten_Import'!$A:$A,"2025-01",'01_Saldenlisten_Import'!$B:$B,"Mustermann GmbH",'01_Saldenlisten_Import'!$F:$F,"Kfz-Kosten"),0)</f>
        <v>0</v>
      </c>
      <c r="D13" s="217">
        <f>IFERROR(SUMIFS('01_Saldenlisten_Import'!$J:$J,'01_Saldenlisten_Import'!$A:$A,"2025-02",'01_Saldenlisten_Import'!$B:$B,"Mustermann GmbH",'01_Saldenlisten_Import'!$F:$F,"Kfz-Kosten"),0)</f>
        <v>0</v>
      </c>
      <c r="E13" s="217">
        <f>IFERROR(SUMIFS('01_Saldenlisten_Import'!$J:$J,'01_Saldenlisten_Import'!$A:$A,"2025-03",'01_Saldenlisten_Import'!$B:$B,"Mustermann GmbH",'01_Saldenlisten_Import'!$F:$F,"Kfz-Kosten"),0)</f>
        <v>0</v>
      </c>
      <c r="F13" s="217">
        <f>IFERROR(SUMIFS('01_Saldenlisten_Import'!$J:$J,'01_Saldenlisten_Import'!$A:$A,"2025-04",'01_Saldenlisten_Import'!$B:$B,"Mustermann GmbH",'01_Saldenlisten_Import'!$F:$F,"Kfz-Kosten"),0)</f>
        <v>0</v>
      </c>
      <c r="G13" s="217">
        <f>IFERROR(SUMIFS('01_Saldenlisten_Import'!$J:$J,'01_Saldenlisten_Import'!$A:$A,"2025-05",'01_Saldenlisten_Import'!$B:$B,"Mustermann GmbH",'01_Saldenlisten_Import'!$F:$F,"Kfz-Kosten"),0)</f>
        <v>0</v>
      </c>
      <c r="H13" s="217">
        <f>IFERROR(SUMIFS('01_Saldenlisten_Import'!$J:$J,'01_Saldenlisten_Import'!$A:$A,"2025-06",'01_Saldenlisten_Import'!$B:$B,"Mustermann GmbH",'01_Saldenlisten_Import'!$F:$F,"Kfz-Kosten"),0)</f>
        <v>0</v>
      </c>
      <c r="I13" s="217">
        <f>IFERROR(SUMIFS('01_Saldenlisten_Import'!$J:$J,'01_Saldenlisten_Import'!$A:$A,"2025-07",'01_Saldenlisten_Import'!$B:$B,"Mustermann GmbH",'01_Saldenlisten_Import'!$F:$F,"Kfz-Kosten"),0)</f>
        <v>0</v>
      </c>
      <c r="J13" s="217">
        <f>IFERROR(SUMIFS('01_Saldenlisten_Import'!$J:$J,'01_Saldenlisten_Import'!$A:$A,"2025-08",'01_Saldenlisten_Import'!$B:$B,"Mustermann GmbH",'01_Saldenlisten_Import'!$F:$F,"Kfz-Kosten"),0)</f>
        <v>0</v>
      </c>
      <c r="K13" s="217">
        <f>IFERROR(SUMIFS('01_Saldenlisten_Import'!$J:$J,'01_Saldenlisten_Import'!$A:$A,"2025-09",'01_Saldenlisten_Import'!$B:$B,"Mustermann GmbH",'01_Saldenlisten_Import'!$F:$F,"Kfz-Kosten"),0)</f>
        <v>0</v>
      </c>
      <c r="L13" s="217">
        <f>IFERROR(SUMIFS('01_Saldenlisten_Import'!$J:$J,'01_Saldenlisten_Import'!$A:$A,"2025-10",'01_Saldenlisten_Import'!$B:$B,"Mustermann GmbH",'01_Saldenlisten_Import'!$F:$F,"Kfz-Kosten"),0)</f>
        <v>0</v>
      </c>
      <c r="M13" s="217">
        <f>IFERROR(SUMIFS('01_Saldenlisten_Import'!$J:$J,'01_Saldenlisten_Import'!$A:$A,"2025-11",'01_Saldenlisten_Import'!$B:$B,"Mustermann GmbH",'01_Saldenlisten_Import'!$F:$F,"Kfz-Kosten"),0)</f>
        <v>0</v>
      </c>
      <c r="N13" s="217">
        <f>IFERROR(SUMIFS('01_Saldenlisten_Import'!$J:$J,'01_Saldenlisten_Import'!$A:$A,"2025-12",'01_Saldenlisten_Import'!$B:$B,"Mustermann GmbH",'01_Saldenlisten_Import'!$F:$F,"Kfz-Kosten"),0)</f>
        <v>0</v>
      </c>
      <c r="O13" s="218">
        <f t="shared" si="2"/>
        <v>0</v>
      </c>
    </row>
    <row r="14" spans="1:15" ht="18" customHeight="1" x14ac:dyDescent="0.2">
      <c r="A14" s="229" t="s">
        <v>476</v>
      </c>
      <c r="B14" s="230" t="s">
        <v>477</v>
      </c>
      <c r="C14" s="217">
        <f>IFERROR(SUMIFS('01_Saldenlisten_Import'!$J:$J,'01_Saldenlisten_Import'!$A:$A,"2025-01",'01_Saldenlisten_Import'!$B:$B,"Mustermann GmbH",'01_Saldenlisten_Import'!$F:$F,"Marketing"),0)</f>
        <v>2800</v>
      </c>
      <c r="D14" s="217">
        <f>IFERROR(SUMIFS('01_Saldenlisten_Import'!$J:$J,'01_Saldenlisten_Import'!$A:$A,"2025-02",'01_Saldenlisten_Import'!$B:$B,"Mustermann GmbH",'01_Saldenlisten_Import'!$F:$F,"Marketing"),0)</f>
        <v>0</v>
      </c>
      <c r="E14" s="217">
        <f>IFERROR(SUMIFS('01_Saldenlisten_Import'!$J:$J,'01_Saldenlisten_Import'!$A:$A,"2025-03",'01_Saldenlisten_Import'!$B:$B,"Mustermann GmbH",'01_Saldenlisten_Import'!$F:$F,"Marketing"),0)</f>
        <v>3100</v>
      </c>
      <c r="F14" s="217">
        <f>IFERROR(SUMIFS('01_Saldenlisten_Import'!$J:$J,'01_Saldenlisten_Import'!$A:$A,"2025-04",'01_Saldenlisten_Import'!$B:$B,"Mustermann GmbH",'01_Saldenlisten_Import'!$F:$F,"Marketing"),0)</f>
        <v>3300</v>
      </c>
      <c r="G14" s="217">
        <f>IFERROR(SUMIFS('01_Saldenlisten_Import'!$J:$J,'01_Saldenlisten_Import'!$A:$A,"2025-05",'01_Saldenlisten_Import'!$B:$B,"Mustermann GmbH",'01_Saldenlisten_Import'!$F:$F,"Marketing"),0)</f>
        <v>3500</v>
      </c>
      <c r="H14" s="217">
        <f>IFERROR(SUMIFS('01_Saldenlisten_Import'!$J:$J,'01_Saldenlisten_Import'!$A:$A,"2025-06",'01_Saldenlisten_Import'!$B:$B,"Mustermann GmbH",'01_Saldenlisten_Import'!$F:$F,"Marketing"),0)</f>
        <v>3600</v>
      </c>
      <c r="I14" s="217">
        <f>IFERROR(SUMIFS('01_Saldenlisten_Import'!$J:$J,'01_Saldenlisten_Import'!$A:$A,"2025-07",'01_Saldenlisten_Import'!$B:$B,"Mustermann GmbH",'01_Saldenlisten_Import'!$F:$F,"Marketing"),0)</f>
        <v>3800</v>
      </c>
      <c r="J14" s="217">
        <f>IFERROR(SUMIFS('01_Saldenlisten_Import'!$J:$J,'01_Saldenlisten_Import'!$A:$A,"2025-08",'01_Saldenlisten_Import'!$B:$B,"Mustermann GmbH",'01_Saldenlisten_Import'!$F:$F,"Marketing"),0)</f>
        <v>3900</v>
      </c>
      <c r="K14" s="217">
        <f>IFERROR(SUMIFS('01_Saldenlisten_Import'!$J:$J,'01_Saldenlisten_Import'!$A:$A,"2025-09",'01_Saldenlisten_Import'!$B:$B,"Mustermann GmbH",'01_Saldenlisten_Import'!$F:$F,"Marketing"),0)</f>
        <v>4100</v>
      </c>
      <c r="L14" s="217">
        <f>IFERROR(SUMIFS('01_Saldenlisten_Import'!$J:$J,'01_Saldenlisten_Import'!$A:$A,"2025-10",'01_Saldenlisten_Import'!$B:$B,"Mustermann GmbH",'01_Saldenlisten_Import'!$F:$F,"Marketing"),0)</f>
        <v>4300</v>
      </c>
      <c r="M14" s="217">
        <f>IFERROR(SUMIFS('01_Saldenlisten_Import'!$J:$J,'01_Saldenlisten_Import'!$A:$A,"2025-11",'01_Saldenlisten_Import'!$B:$B,"Mustermann GmbH",'01_Saldenlisten_Import'!$F:$F,"Marketing"),0)</f>
        <v>4400</v>
      </c>
      <c r="N14" s="217">
        <f>IFERROR(SUMIFS('01_Saldenlisten_Import'!$J:$J,'01_Saldenlisten_Import'!$A:$A,"2025-12",'01_Saldenlisten_Import'!$B:$B,"Mustermann GmbH",'01_Saldenlisten_Import'!$F:$F,"Marketing"),0)</f>
        <v>4600</v>
      </c>
      <c r="O14" s="218">
        <f t="shared" si="2"/>
        <v>41400</v>
      </c>
    </row>
    <row r="15" spans="1:15" ht="18" customHeight="1" x14ac:dyDescent="0.2">
      <c r="A15" s="229" t="s">
        <v>478</v>
      </c>
      <c r="B15" s="230" t="s">
        <v>479</v>
      </c>
      <c r="C15" s="217">
        <f>IFERROR(SUMIFS('01_Saldenlisten_Import'!$J:$J,'01_Saldenlisten_Import'!$A:$A,"2025-01",'01_Saldenlisten_Import'!$B:$B,"Mustermann GmbH",'01_Saldenlisten_Import'!$F:$F,"Reisekosten"),0)</f>
        <v>0</v>
      </c>
      <c r="D15" s="217">
        <f>IFERROR(SUMIFS('01_Saldenlisten_Import'!$J:$J,'01_Saldenlisten_Import'!$A:$A,"2025-02",'01_Saldenlisten_Import'!$B:$B,"Mustermann GmbH",'01_Saldenlisten_Import'!$F:$F,"Reisekosten"),0)</f>
        <v>0</v>
      </c>
      <c r="E15" s="217">
        <f>IFERROR(SUMIFS('01_Saldenlisten_Import'!$J:$J,'01_Saldenlisten_Import'!$A:$A,"2025-03",'01_Saldenlisten_Import'!$B:$B,"Mustermann GmbH",'01_Saldenlisten_Import'!$F:$F,"Reisekosten"),0)</f>
        <v>0</v>
      </c>
      <c r="F15" s="217">
        <f>IFERROR(SUMIFS('01_Saldenlisten_Import'!$J:$J,'01_Saldenlisten_Import'!$A:$A,"2025-04",'01_Saldenlisten_Import'!$B:$B,"Mustermann GmbH",'01_Saldenlisten_Import'!$F:$F,"Reisekosten"),0)</f>
        <v>0</v>
      </c>
      <c r="G15" s="217">
        <f>IFERROR(SUMIFS('01_Saldenlisten_Import'!$J:$J,'01_Saldenlisten_Import'!$A:$A,"2025-05",'01_Saldenlisten_Import'!$B:$B,"Mustermann GmbH",'01_Saldenlisten_Import'!$F:$F,"Reisekosten"),0)</f>
        <v>0</v>
      </c>
      <c r="H15" s="217">
        <f>IFERROR(SUMIFS('01_Saldenlisten_Import'!$J:$J,'01_Saldenlisten_Import'!$A:$A,"2025-06",'01_Saldenlisten_Import'!$B:$B,"Mustermann GmbH",'01_Saldenlisten_Import'!$F:$F,"Reisekosten"),0)</f>
        <v>0</v>
      </c>
      <c r="I15" s="217">
        <f>IFERROR(SUMIFS('01_Saldenlisten_Import'!$J:$J,'01_Saldenlisten_Import'!$A:$A,"2025-07",'01_Saldenlisten_Import'!$B:$B,"Mustermann GmbH",'01_Saldenlisten_Import'!$F:$F,"Reisekosten"),0)</f>
        <v>0</v>
      </c>
      <c r="J15" s="217">
        <f>IFERROR(SUMIFS('01_Saldenlisten_Import'!$J:$J,'01_Saldenlisten_Import'!$A:$A,"2025-08",'01_Saldenlisten_Import'!$B:$B,"Mustermann GmbH",'01_Saldenlisten_Import'!$F:$F,"Reisekosten"),0)</f>
        <v>0</v>
      </c>
      <c r="K15" s="217">
        <f>IFERROR(SUMIFS('01_Saldenlisten_Import'!$J:$J,'01_Saldenlisten_Import'!$A:$A,"2025-09",'01_Saldenlisten_Import'!$B:$B,"Mustermann GmbH",'01_Saldenlisten_Import'!$F:$F,"Reisekosten"),0)</f>
        <v>0</v>
      </c>
      <c r="L15" s="217">
        <f>IFERROR(SUMIFS('01_Saldenlisten_Import'!$J:$J,'01_Saldenlisten_Import'!$A:$A,"2025-10",'01_Saldenlisten_Import'!$B:$B,"Mustermann GmbH",'01_Saldenlisten_Import'!$F:$F,"Reisekosten"),0)</f>
        <v>0</v>
      </c>
      <c r="M15" s="217">
        <f>IFERROR(SUMIFS('01_Saldenlisten_Import'!$J:$J,'01_Saldenlisten_Import'!$A:$A,"2025-11",'01_Saldenlisten_Import'!$B:$B,"Mustermann GmbH",'01_Saldenlisten_Import'!$F:$F,"Reisekosten"),0)</f>
        <v>0</v>
      </c>
      <c r="N15" s="217">
        <f>IFERROR(SUMIFS('01_Saldenlisten_Import'!$J:$J,'01_Saldenlisten_Import'!$A:$A,"2025-12",'01_Saldenlisten_Import'!$B:$B,"Mustermann GmbH",'01_Saldenlisten_Import'!$F:$F,"Reisekosten"),0)</f>
        <v>0</v>
      </c>
      <c r="O15" s="218">
        <f t="shared" si="2"/>
        <v>0</v>
      </c>
    </row>
    <row r="16" spans="1:15" ht="18" customHeight="1" x14ac:dyDescent="0.2">
      <c r="A16" s="229" t="s">
        <v>480</v>
      </c>
      <c r="B16" s="230" t="s">
        <v>481</v>
      </c>
      <c r="C16" s="217">
        <f>IFERROR(SUMIFS('01_Saldenlisten_Import'!$J:$J,'01_Saldenlisten_Import'!$A:$A,"2025-01",'01_Saldenlisten_Import'!$B:$B,"Mustermann GmbH",'01_Saldenlisten_Import'!$F:$F,"Büro &amp; IT"),0)</f>
        <v>8500</v>
      </c>
      <c r="D16" s="217">
        <f>IFERROR(SUMIFS('01_Saldenlisten_Import'!$J:$J,'01_Saldenlisten_Import'!$A:$A,"2025-02",'01_Saldenlisten_Import'!$B:$B,"Mustermann GmbH",'01_Saldenlisten_Import'!$F:$F,"Büro &amp; IT"),0)</f>
        <v>9200</v>
      </c>
      <c r="E16" s="217">
        <f>IFERROR(SUMIFS('01_Saldenlisten_Import'!$J:$J,'01_Saldenlisten_Import'!$A:$A,"2025-03",'01_Saldenlisten_Import'!$B:$B,"Mustermann GmbH",'01_Saldenlisten_Import'!$F:$F,"Büro &amp; IT"),0)</f>
        <v>9500</v>
      </c>
      <c r="F16" s="217">
        <f>IFERROR(SUMIFS('01_Saldenlisten_Import'!$J:$J,'01_Saldenlisten_Import'!$A:$A,"2025-04",'01_Saldenlisten_Import'!$B:$B,"Mustermann GmbH",'01_Saldenlisten_Import'!$F:$F,"Büro &amp; IT"),0)</f>
        <v>9800</v>
      </c>
      <c r="G16" s="217">
        <f>IFERROR(SUMIFS('01_Saldenlisten_Import'!$J:$J,'01_Saldenlisten_Import'!$A:$A,"2025-05",'01_Saldenlisten_Import'!$B:$B,"Mustermann GmbH",'01_Saldenlisten_Import'!$F:$F,"Büro &amp; IT"),0)</f>
        <v>10000</v>
      </c>
      <c r="H16" s="217">
        <f>IFERROR(SUMIFS('01_Saldenlisten_Import'!$J:$J,'01_Saldenlisten_Import'!$A:$A,"2025-06",'01_Saldenlisten_Import'!$B:$B,"Mustermann GmbH",'01_Saldenlisten_Import'!$F:$F,"Büro &amp; IT"),0)</f>
        <v>10300</v>
      </c>
      <c r="I16" s="217">
        <f>IFERROR(SUMIFS('01_Saldenlisten_Import'!$J:$J,'01_Saldenlisten_Import'!$A:$A,"2025-07",'01_Saldenlisten_Import'!$B:$B,"Mustermann GmbH",'01_Saldenlisten_Import'!$F:$F,"Büro &amp; IT"),0)</f>
        <v>10600</v>
      </c>
      <c r="J16" s="217">
        <f>IFERROR(SUMIFS('01_Saldenlisten_Import'!$J:$J,'01_Saldenlisten_Import'!$A:$A,"2025-08",'01_Saldenlisten_Import'!$B:$B,"Mustermann GmbH",'01_Saldenlisten_Import'!$F:$F,"Büro &amp; IT"),0)</f>
        <v>10900</v>
      </c>
      <c r="K16" s="217">
        <f>IFERROR(SUMIFS('01_Saldenlisten_Import'!$J:$J,'01_Saldenlisten_Import'!$A:$A,"2025-09",'01_Saldenlisten_Import'!$B:$B,"Mustermann GmbH",'01_Saldenlisten_Import'!$F:$F,"Büro &amp; IT"),0)</f>
        <v>11200</v>
      </c>
      <c r="L16" s="217">
        <f>IFERROR(SUMIFS('01_Saldenlisten_Import'!$J:$J,'01_Saldenlisten_Import'!$A:$A,"2025-10",'01_Saldenlisten_Import'!$B:$B,"Mustermann GmbH",'01_Saldenlisten_Import'!$F:$F,"Büro &amp; IT"),0)</f>
        <v>11500</v>
      </c>
      <c r="M16" s="217">
        <f>IFERROR(SUMIFS('01_Saldenlisten_Import'!$J:$J,'01_Saldenlisten_Import'!$A:$A,"2025-11",'01_Saldenlisten_Import'!$B:$B,"Mustermann GmbH",'01_Saldenlisten_Import'!$F:$F,"Büro &amp; IT"),0)</f>
        <v>11800</v>
      </c>
      <c r="N16" s="217">
        <f>IFERROR(SUMIFS('01_Saldenlisten_Import'!$J:$J,'01_Saldenlisten_Import'!$A:$A,"2025-12",'01_Saldenlisten_Import'!$B:$B,"Mustermann GmbH",'01_Saldenlisten_Import'!$F:$F,"Büro &amp; IT"),0)</f>
        <v>12000</v>
      </c>
      <c r="O16" s="218">
        <f t="shared" si="2"/>
        <v>125300</v>
      </c>
    </row>
    <row r="17" spans="1:15" ht="18" customHeight="1" x14ac:dyDescent="0.2">
      <c r="A17" s="229" t="s">
        <v>482</v>
      </c>
      <c r="B17" s="230" t="s">
        <v>483</v>
      </c>
      <c r="C17" s="217">
        <f>IFERROR(SUMIFS('01_Saldenlisten_Import'!$J:$J,'01_Saldenlisten_Import'!$A:$A,"2025-01",'01_Saldenlisten_Import'!$B:$B,"Mustermann GmbH",'01_Saldenlisten_Import'!$F:$F,"Versicherungen"),0)</f>
        <v>0</v>
      </c>
      <c r="D17" s="217">
        <f>IFERROR(SUMIFS('01_Saldenlisten_Import'!$J:$J,'01_Saldenlisten_Import'!$A:$A,"2025-02",'01_Saldenlisten_Import'!$B:$B,"Mustermann GmbH",'01_Saldenlisten_Import'!$F:$F,"Versicherungen"),0)</f>
        <v>0</v>
      </c>
      <c r="E17" s="217">
        <f>IFERROR(SUMIFS('01_Saldenlisten_Import'!$J:$J,'01_Saldenlisten_Import'!$A:$A,"2025-03",'01_Saldenlisten_Import'!$B:$B,"Mustermann GmbH",'01_Saldenlisten_Import'!$F:$F,"Versicherungen"),0)</f>
        <v>0</v>
      </c>
      <c r="F17" s="217">
        <f>IFERROR(SUMIFS('01_Saldenlisten_Import'!$J:$J,'01_Saldenlisten_Import'!$A:$A,"2025-04",'01_Saldenlisten_Import'!$B:$B,"Mustermann GmbH",'01_Saldenlisten_Import'!$F:$F,"Versicherungen"),0)</f>
        <v>0</v>
      </c>
      <c r="G17" s="217">
        <f>IFERROR(SUMIFS('01_Saldenlisten_Import'!$J:$J,'01_Saldenlisten_Import'!$A:$A,"2025-05",'01_Saldenlisten_Import'!$B:$B,"Mustermann GmbH",'01_Saldenlisten_Import'!$F:$F,"Versicherungen"),0)</f>
        <v>0</v>
      </c>
      <c r="H17" s="217">
        <f>IFERROR(SUMIFS('01_Saldenlisten_Import'!$J:$J,'01_Saldenlisten_Import'!$A:$A,"2025-06",'01_Saldenlisten_Import'!$B:$B,"Mustermann GmbH",'01_Saldenlisten_Import'!$F:$F,"Versicherungen"),0)</f>
        <v>0</v>
      </c>
      <c r="I17" s="217">
        <f>IFERROR(SUMIFS('01_Saldenlisten_Import'!$J:$J,'01_Saldenlisten_Import'!$A:$A,"2025-07",'01_Saldenlisten_Import'!$B:$B,"Mustermann GmbH",'01_Saldenlisten_Import'!$F:$F,"Versicherungen"),0)</f>
        <v>0</v>
      </c>
      <c r="J17" s="217">
        <f>IFERROR(SUMIFS('01_Saldenlisten_Import'!$J:$J,'01_Saldenlisten_Import'!$A:$A,"2025-08",'01_Saldenlisten_Import'!$B:$B,"Mustermann GmbH",'01_Saldenlisten_Import'!$F:$F,"Versicherungen"),0)</f>
        <v>0</v>
      </c>
      <c r="K17" s="217">
        <f>IFERROR(SUMIFS('01_Saldenlisten_Import'!$J:$J,'01_Saldenlisten_Import'!$A:$A,"2025-09",'01_Saldenlisten_Import'!$B:$B,"Mustermann GmbH",'01_Saldenlisten_Import'!$F:$F,"Versicherungen"),0)</f>
        <v>0</v>
      </c>
      <c r="L17" s="217">
        <f>IFERROR(SUMIFS('01_Saldenlisten_Import'!$J:$J,'01_Saldenlisten_Import'!$A:$A,"2025-10",'01_Saldenlisten_Import'!$B:$B,"Mustermann GmbH",'01_Saldenlisten_Import'!$F:$F,"Versicherungen"),0)</f>
        <v>0</v>
      </c>
      <c r="M17" s="217">
        <f>IFERROR(SUMIFS('01_Saldenlisten_Import'!$J:$J,'01_Saldenlisten_Import'!$A:$A,"2025-11",'01_Saldenlisten_Import'!$B:$B,"Mustermann GmbH",'01_Saldenlisten_Import'!$F:$F,"Versicherungen"),0)</f>
        <v>0</v>
      </c>
      <c r="N17" s="217">
        <f>IFERROR(SUMIFS('01_Saldenlisten_Import'!$J:$J,'01_Saldenlisten_Import'!$A:$A,"2025-12",'01_Saldenlisten_Import'!$B:$B,"Mustermann GmbH",'01_Saldenlisten_Import'!$F:$F,"Versicherungen"),0)</f>
        <v>0</v>
      </c>
      <c r="O17" s="218">
        <f t="shared" si="2"/>
        <v>0</v>
      </c>
    </row>
    <row r="18" spans="1:15" ht="18" customHeight="1" x14ac:dyDescent="0.2">
      <c r="A18" s="229" t="s">
        <v>484</v>
      </c>
      <c r="B18" s="230" t="s">
        <v>485</v>
      </c>
      <c r="C18" s="217">
        <f>IFERROR(SUMIFS('01_Saldenlisten_Import'!$J:$J,'01_Saldenlisten_Import'!$A:$A,"2025-01",'01_Saldenlisten_Import'!$B:$B,"Mustermann GmbH",'01_Saldenlisten_Import'!$F:$F,"Sonstige"),0)</f>
        <v>1770</v>
      </c>
      <c r="D18" s="217">
        <f>IFERROR(SUMIFS('01_Saldenlisten_Import'!$J:$J,'01_Saldenlisten_Import'!$A:$A,"2025-02",'01_Saldenlisten_Import'!$B:$B,"Mustermann GmbH",'01_Saldenlisten_Import'!$F:$F,"Sonstige"),0)</f>
        <v>6065</v>
      </c>
      <c r="E18" s="217">
        <f>IFERROR(SUMIFS('01_Saldenlisten_Import'!$J:$J,'01_Saldenlisten_Import'!$A:$A,"2025-03",'01_Saldenlisten_Import'!$B:$B,"Mustermann GmbH",'01_Saldenlisten_Import'!$F:$F,"Sonstige"),0)</f>
        <v>6080</v>
      </c>
      <c r="F18" s="217">
        <f>IFERROR(SUMIFS('01_Saldenlisten_Import'!$J:$J,'01_Saldenlisten_Import'!$A:$A,"2025-04",'01_Saldenlisten_Import'!$B:$B,"Mustermann GmbH",'01_Saldenlisten_Import'!$F:$F,"Sonstige"),0)</f>
        <v>1032</v>
      </c>
      <c r="G18" s="217">
        <f>IFERROR(SUMIFS('01_Saldenlisten_Import'!$J:$J,'01_Saldenlisten_Import'!$A:$A,"2025-05",'01_Saldenlisten_Import'!$B:$B,"Mustermann GmbH",'01_Saldenlisten_Import'!$F:$F,"Sonstige"),0)</f>
        <v>4608</v>
      </c>
      <c r="H18" s="217">
        <f>IFERROR(SUMIFS('01_Saldenlisten_Import'!$J:$J,'01_Saldenlisten_Import'!$A:$A,"2025-06",'01_Saldenlisten_Import'!$B:$B,"Mustermann GmbH",'01_Saldenlisten_Import'!$F:$F,"Sonstige"),0)</f>
        <v>5565</v>
      </c>
      <c r="I18" s="217">
        <f>IFERROR(SUMIFS('01_Saldenlisten_Import'!$J:$J,'01_Saldenlisten_Import'!$A:$A,"2025-07",'01_Saldenlisten_Import'!$B:$B,"Mustermann GmbH",'01_Saldenlisten_Import'!$F:$F,"Sonstige"),0)</f>
        <v>4227</v>
      </c>
      <c r="J18" s="217">
        <f>IFERROR(SUMIFS('01_Saldenlisten_Import'!$J:$J,'01_Saldenlisten_Import'!$A:$A,"2025-08",'01_Saldenlisten_Import'!$B:$B,"Mustermann GmbH",'01_Saldenlisten_Import'!$F:$F,"Sonstige"),0)</f>
        <v>5192</v>
      </c>
      <c r="K18" s="217">
        <f>IFERROR(SUMIFS('01_Saldenlisten_Import'!$J:$J,'01_Saldenlisten_Import'!$A:$A,"2025-09",'01_Saldenlisten_Import'!$B:$B,"Mustermann GmbH",'01_Saldenlisten_Import'!$F:$F,"Sonstige"),0)</f>
        <v>5660</v>
      </c>
      <c r="L18" s="217">
        <f>IFERROR(SUMIFS('01_Saldenlisten_Import'!$J:$J,'01_Saldenlisten_Import'!$A:$A,"2025-10",'01_Saldenlisten_Import'!$B:$B,"Mustermann GmbH",'01_Saldenlisten_Import'!$F:$F,"Sonstige"),0)</f>
        <v>6200</v>
      </c>
      <c r="M18" s="217">
        <f>IFERROR(SUMIFS('01_Saldenlisten_Import'!$J:$J,'01_Saldenlisten_Import'!$A:$A,"2025-11",'01_Saldenlisten_Import'!$B:$B,"Mustermann GmbH",'01_Saldenlisten_Import'!$F:$F,"Sonstige"),0)</f>
        <v>6200</v>
      </c>
      <c r="N18" s="217">
        <f>IFERROR(SUMIFS('01_Saldenlisten_Import'!$J:$J,'01_Saldenlisten_Import'!$A:$A,"2025-12",'01_Saldenlisten_Import'!$B:$B,"Mustermann GmbH",'01_Saldenlisten_Import'!$F:$F,"Sonstige"),0)</f>
        <v>6800</v>
      </c>
      <c r="O18" s="218">
        <f t="shared" si="2"/>
        <v>59399</v>
      </c>
    </row>
    <row r="19" spans="1:15" ht="19.5" customHeight="1" x14ac:dyDescent="0.2">
      <c r="A19" s="231"/>
      <c r="B19" s="232" t="s">
        <v>486</v>
      </c>
      <c r="C19" s="233">
        <f t="shared" ref="C19:N19" si="3">C9-(C11+C12+C13+C14+C15+C16+C17+C18)</f>
        <v>22030</v>
      </c>
      <c r="D19" s="233">
        <f t="shared" si="3"/>
        <v>22085</v>
      </c>
      <c r="E19" s="233">
        <f t="shared" si="3"/>
        <v>21170</v>
      </c>
      <c r="F19" s="233">
        <f t="shared" si="3"/>
        <v>21348</v>
      </c>
      <c r="G19" s="233">
        <f t="shared" si="3"/>
        <v>21392</v>
      </c>
      <c r="H19" s="233">
        <f t="shared" si="3"/>
        <v>21735</v>
      </c>
      <c r="I19" s="233">
        <f t="shared" si="3"/>
        <v>21163</v>
      </c>
      <c r="J19" s="233">
        <f t="shared" si="3"/>
        <v>21578</v>
      </c>
      <c r="K19" s="233">
        <f t="shared" si="3"/>
        <v>22110</v>
      </c>
      <c r="L19" s="233">
        <f t="shared" si="3"/>
        <v>22500</v>
      </c>
      <c r="M19" s="233">
        <f t="shared" si="3"/>
        <v>24000</v>
      </c>
      <c r="N19" s="233">
        <f t="shared" si="3"/>
        <v>25500</v>
      </c>
      <c r="O19" s="222">
        <f t="shared" si="2"/>
        <v>266611</v>
      </c>
    </row>
    <row r="20" spans="1:15" ht="18" customHeight="1" x14ac:dyDescent="0.2">
      <c r="A20" s="223"/>
      <c r="B20" s="223"/>
      <c r="C20" s="223"/>
      <c r="D20" s="223"/>
      <c r="E20" s="223"/>
      <c r="F20" s="223"/>
      <c r="G20" s="223"/>
      <c r="H20" s="223"/>
      <c r="I20" s="223"/>
      <c r="J20" s="223"/>
      <c r="K20" s="223"/>
      <c r="L20" s="223"/>
      <c r="M20" s="223"/>
      <c r="N20" s="223"/>
      <c r="O20" s="223"/>
    </row>
    <row r="21" spans="1:15" ht="18" customHeight="1" x14ac:dyDescent="0.2">
      <c r="A21" s="234" t="s">
        <v>487</v>
      </c>
      <c r="B21" s="235" t="s">
        <v>488</v>
      </c>
      <c r="C21" s="217">
        <f>IFERROR(SUMIFS('01_Saldenlisten_Import'!$J:$J,'01_Saldenlisten_Import'!$A:$A,"2025-01",'01_Saldenlisten_Import'!$B:$B,"Mustermann GmbH",'01_Saldenlisten_Import'!$F:$F,"Abschreibungen"),0)</f>
        <v>0</v>
      </c>
      <c r="D21" s="217">
        <f>IFERROR(SUMIFS('01_Saldenlisten_Import'!$J:$J,'01_Saldenlisten_Import'!$A:$A,"2025-02",'01_Saldenlisten_Import'!$B:$B,"Mustermann GmbH",'01_Saldenlisten_Import'!$F:$F,"Abschreibungen"),0)</f>
        <v>0</v>
      </c>
      <c r="E21" s="217">
        <f>IFERROR(SUMIFS('01_Saldenlisten_Import'!$J:$J,'01_Saldenlisten_Import'!$A:$A,"2025-03",'01_Saldenlisten_Import'!$B:$B,"Mustermann GmbH",'01_Saldenlisten_Import'!$F:$F,"Abschreibungen"),0)</f>
        <v>0</v>
      </c>
      <c r="F21" s="217">
        <f>IFERROR(SUMIFS('01_Saldenlisten_Import'!$J:$J,'01_Saldenlisten_Import'!$A:$A,"2025-04",'01_Saldenlisten_Import'!$B:$B,"Mustermann GmbH",'01_Saldenlisten_Import'!$F:$F,"Abschreibungen"),0)</f>
        <v>0</v>
      </c>
      <c r="G21" s="217">
        <f>IFERROR(SUMIFS('01_Saldenlisten_Import'!$J:$J,'01_Saldenlisten_Import'!$A:$A,"2025-05",'01_Saldenlisten_Import'!$B:$B,"Mustermann GmbH",'01_Saldenlisten_Import'!$F:$F,"Abschreibungen"),0)</f>
        <v>0</v>
      </c>
      <c r="H21" s="217">
        <f>IFERROR(SUMIFS('01_Saldenlisten_Import'!$J:$J,'01_Saldenlisten_Import'!$A:$A,"2025-06",'01_Saldenlisten_Import'!$B:$B,"Mustermann GmbH",'01_Saldenlisten_Import'!$F:$F,"Abschreibungen"),0)</f>
        <v>0</v>
      </c>
      <c r="I21" s="217">
        <f>IFERROR(SUMIFS('01_Saldenlisten_Import'!$J:$J,'01_Saldenlisten_Import'!$A:$A,"2025-07",'01_Saldenlisten_Import'!$B:$B,"Mustermann GmbH",'01_Saldenlisten_Import'!$F:$F,"Abschreibungen"),0)</f>
        <v>0</v>
      </c>
      <c r="J21" s="217">
        <f>IFERROR(SUMIFS('01_Saldenlisten_Import'!$J:$J,'01_Saldenlisten_Import'!$A:$A,"2025-08",'01_Saldenlisten_Import'!$B:$B,"Mustermann GmbH",'01_Saldenlisten_Import'!$F:$F,"Abschreibungen"),0)</f>
        <v>0</v>
      </c>
      <c r="K21" s="217">
        <f>IFERROR(SUMIFS('01_Saldenlisten_Import'!$J:$J,'01_Saldenlisten_Import'!$A:$A,"2025-09",'01_Saldenlisten_Import'!$B:$B,"Mustermann GmbH",'01_Saldenlisten_Import'!$F:$F,"Abschreibungen"),0)</f>
        <v>0</v>
      </c>
      <c r="L21" s="217">
        <f>IFERROR(SUMIFS('01_Saldenlisten_Import'!$J:$J,'01_Saldenlisten_Import'!$A:$A,"2025-10",'01_Saldenlisten_Import'!$B:$B,"Mustermann GmbH",'01_Saldenlisten_Import'!$F:$F,"Abschreibungen"),0)</f>
        <v>0</v>
      </c>
      <c r="M21" s="217">
        <f>IFERROR(SUMIFS('01_Saldenlisten_Import'!$J:$J,'01_Saldenlisten_Import'!$A:$A,"2025-11",'01_Saldenlisten_Import'!$B:$B,"Mustermann GmbH",'01_Saldenlisten_Import'!$F:$F,"Abschreibungen"),0)</f>
        <v>0</v>
      </c>
      <c r="N21" s="217">
        <f>IFERROR(SUMIFS('01_Saldenlisten_Import'!$J:$J,'01_Saldenlisten_Import'!$A:$A,"2025-12",'01_Saldenlisten_Import'!$B:$B,"Mustermann GmbH",'01_Saldenlisten_Import'!$F:$F,"Abschreibungen"),0)</f>
        <v>0</v>
      </c>
      <c r="O21" s="218">
        <f>IFERROR(SUM(C21:N21),0)</f>
        <v>0</v>
      </c>
    </row>
    <row r="22" spans="1:15" ht="19.5" customHeight="1" x14ac:dyDescent="0.2">
      <c r="A22" s="226"/>
      <c r="B22" s="227" t="s">
        <v>489</v>
      </c>
      <c r="C22" s="228">
        <f t="shared" ref="C22:N22" si="4">C19-C21</f>
        <v>22030</v>
      </c>
      <c r="D22" s="228">
        <f t="shared" si="4"/>
        <v>22085</v>
      </c>
      <c r="E22" s="228">
        <f t="shared" si="4"/>
        <v>21170</v>
      </c>
      <c r="F22" s="228">
        <f t="shared" si="4"/>
        <v>21348</v>
      </c>
      <c r="G22" s="228">
        <f t="shared" si="4"/>
        <v>21392</v>
      </c>
      <c r="H22" s="228">
        <f t="shared" si="4"/>
        <v>21735</v>
      </c>
      <c r="I22" s="228">
        <f t="shared" si="4"/>
        <v>21163</v>
      </c>
      <c r="J22" s="228">
        <f t="shared" si="4"/>
        <v>21578</v>
      </c>
      <c r="K22" s="228">
        <f t="shared" si="4"/>
        <v>22110</v>
      </c>
      <c r="L22" s="228">
        <f t="shared" si="4"/>
        <v>22500</v>
      </c>
      <c r="M22" s="228">
        <f t="shared" si="4"/>
        <v>24000</v>
      </c>
      <c r="N22" s="228">
        <f t="shared" si="4"/>
        <v>25500</v>
      </c>
      <c r="O22" s="222">
        <f>IFERROR(SUM(C22:N22),0)</f>
        <v>266611</v>
      </c>
    </row>
    <row r="23" spans="1:15" ht="18" customHeight="1" x14ac:dyDescent="0.2">
      <c r="A23" s="223"/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</row>
    <row r="24" spans="1:15" ht="18" customHeight="1" x14ac:dyDescent="0.2">
      <c r="A24" s="236" t="s">
        <v>490</v>
      </c>
      <c r="B24" s="237" t="s">
        <v>491</v>
      </c>
      <c r="C24" s="217">
        <f>IFERROR(SUMIFS('01_Saldenlisten_Import'!$J:$J,'01_Saldenlisten_Import'!$A:$A,"2025-01",'01_Saldenlisten_Import'!$B:$B,"Mustermann GmbH",'01_Saldenlisten_Import'!$F:$F,"Finanzergebnis"),0)</f>
        <v>0</v>
      </c>
      <c r="D24" s="217">
        <f>IFERROR(SUMIFS('01_Saldenlisten_Import'!$J:$J,'01_Saldenlisten_Import'!$A:$A,"2025-02",'01_Saldenlisten_Import'!$B:$B,"Mustermann GmbH",'01_Saldenlisten_Import'!$F:$F,"Finanzergebnis"),0)</f>
        <v>0</v>
      </c>
      <c r="E24" s="217">
        <f>IFERROR(SUMIFS('01_Saldenlisten_Import'!$J:$J,'01_Saldenlisten_Import'!$A:$A,"2025-03",'01_Saldenlisten_Import'!$B:$B,"Mustermann GmbH",'01_Saldenlisten_Import'!$F:$F,"Finanzergebnis"),0)</f>
        <v>0</v>
      </c>
      <c r="F24" s="217">
        <f>IFERROR(SUMIFS('01_Saldenlisten_Import'!$J:$J,'01_Saldenlisten_Import'!$A:$A,"2025-04",'01_Saldenlisten_Import'!$B:$B,"Mustermann GmbH",'01_Saldenlisten_Import'!$F:$F,"Finanzergebnis"),0)</f>
        <v>0</v>
      </c>
      <c r="G24" s="217">
        <f>IFERROR(SUMIFS('01_Saldenlisten_Import'!$J:$J,'01_Saldenlisten_Import'!$A:$A,"2025-05",'01_Saldenlisten_Import'!$B:$B,"Mustermann GmbH",'01_Saldenlisten_Import'!$F:$F,"Finanzergebnis"),0)</f>
        <v>0</v>
      </c>
      <c r="H24" s="217">
        <f>IFERROR(SUMIFS('01_Saldenlisten_Import'!$J:$J,'01_Saldenlisten_Import'!$A:$A,"2025-06",'01_Saldenlisten_Import'!$B:$B,"Mustermann GmbH",'01_Saldenlisten_Import'!$F:$F,"Finanzergebnis"),0)</f>
        <v>0</v>
      </c>
      <c r="I24" s="217">
        <f>IFERROR(SUMIFS('01_Saldenlisten_Import'!$J:$J,'01_Saldenlisten_Import'!$A:$A,"2025-07",'01_Saldenlisten_Import'!$B:$B,"Mustermann GmbH",'01_Saldenlisten_Import'!$F:$F,"Finanzergebnis"),0)</f>
        <v>0</v>
      </c>
      <c r="J24" s="217">
        <f>IFERROR(SUMIFS('01_Saldenlisten_Import'!$J:$J,'01_Saldenlisten_Import'!$A:$A,"2025-08",'01_Saldenlisten_Import'!$B:$B,"Mustermann GmbH",'01_Saldenlisten_Import'!$F:$F,"Finanzergebnis"),0)</f>
        <v>0</v>
      </c>
      <c r="K24" s="217">
        <f>IFERROR(SUMIFS('01_Saldenlisten_Import'!$J:$J,'01_Saldenlisten_Import'!$A:$A,"2025-09",'01_Saldenlisten_Import'!$B:$B,"Mustermann GmbH",'01_Saldenlisten_Import'!$F:$F,"Finanzergebnis"),0)</f>
        <v>0</v>
      </c>
      <c r="L24" s="217">
        <f>IFERROR(SUMIFS('01_Saldenlisten_Import'!$J:$J,'01_Saldenlisten_Import'!$A:$A,"2025-10",'01_Saldenlisten_Import'!$B:$B,"Mustermann GmbH",'01_Saldenlisten_Import'!$F:$F,"Finanzergebnis"),0)</f>
        <v>0</v>
      </c>
      <c r="M24" s="217">
        <f>IFERROR(SUMIFS('01_Saldenlisten_Import'!$J:$J,'01_Saldenlisten_Import'!$A:$A,"2025-11",'01_Saldenlisten_Import'!$B:$B,"Mustermann GmbH",'01_Saldenlisten_Import'!$F:$F,"Finanzergebnis"),0)</f>
        <v>0</v>
      </c>
      <c r="N24" s="217">
        <f>IFERROR(SUMIFS('01_Saldenlisten_Import'!$J:$J,'01_Saldenlisten_Import'!$A:$A,"2025-12",'01_Saldenlisten_Import'!$B:$B,"Mustermann GmbH",'01_Saldenlisten_Import'!$F:$F,"Finanzergebnis"),0)</f>
        <v>0</v>
      </c>
      <c r="O24" s="218">
        <f>IFERROR(SUM(C24:N24),0)</f>
        <v>0</v>
      </c>
    </row>
    <row r="25" spans="1:15" ht="19.5" customHeight="1" x14ac:dyDescent="0.2">
      <c r="A25" s="238"/>
      <c r="B25" s="239" t="s">
        <v>492</v>
      </c>
      <c r="C25" s="240">
        <f t="shared" ref="C25:N25" si="5">C22+C24</f>
        <v>22030</v>
      </c>
      <c r="D25" s="240">
        <f t="shared" si="5"/>
        <v>22085</v>
      </c>
      <c r="E25" s="240">
        <f t="shared" si="5"/>
        <v>21170</v>
      </c>
      <c r="F25" s="240">
        <f t="shared" si="5"/>
        <v>21348</v>
      </c>
      <c r="G25" s="240">
        <f t="shared" si="5"/>
        <v>21392</v>
      </c>
      <c r="H25" s="240">
        <f t="shared" si="5"/>
        <v>21735</v>
      </c>
      <c r="I25" s="240">
        <f t="shared" si="5"/>
        <v>21163</v>
      </c>
      <c r="J25" s="240">
        <f t="shared" si="5"/>
        <v>21578</v>
      </c>
      <c r="K25" s="240">
        <f t="shared" si="5"/>
        <v>22110</v>
      </c>
      <c r="L25" s="240">
        <f t="shared" si="5"/>
        <v>22500</v>
      </c>
      <c r="M25" s="240">
        <f t="shared" si="5"/>
        <v>24000</v>
      </c>
      <c r="N25" s="240">
        <f t="shared" si="5"/>
        <v>25500</v>
      </c>
      <c r="O25" s="222">
        <f>IFERROR(SUM(C25:N25),0)</f>
        <v>266611</v>
      </c>
    </row>
    <row r="26" spans="1:15" ht="18" customHeight="1" x14ac:dyDescent="0.2">
      <c r="A26" s="223"/>
      <c r="B26" s="223"/>
      <c r="C26" s="223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</row>
    <row r="27" spans="1:15" ht="18" customHeight="1" x14ac:dyDescent="0.2">
      <c r="A27" s="241" t="s">
        <v>493</v>
      </c>
      <c r="B27" s="242" t="s">
        <v>494</v>
      </c>
      <c r="C27" s="217">
        <f>IFERROR(SUMIFS('01_Saldenlisten_Import'!$J:$J,'01_Saldenlisten_Import'!$A:$A,"2025-01",'01_Saldenlisten_Import'!$B:$B,"Mustermann GmbH",'01_Saldenlisten_Import'!$F:$F,"Steuern"),0)</f>
        <v>0</v>
      </c>
      <c r="D27" s="217">
        <f>IFERROR(SUMIFS('01_Saldenlisten_Import'!$J:$J,'01_Saldenlisten_Import'!$A:$A,"2025-02",'01_Saldenlisten_Import'!$B:$B,"Mustermann GmbH",'01_Saldenlisten_Import'!$F:$F,"Steuern"),0)</f>
        <v>0</v>
      </c>
      <c r="E27" s="217">
        <f>IFERROR(SUMIFS('01_Saldenlisten_Import'!$J:$J,'01_Saldenlisten_Import'!$A:$A,"2025-03",'01_Saldenlisten_Import'!$B:$B,"Mustermann GmbH",'01_Saldenlisten_Import'!$F:$F,"Steuern"),0)</f>
        <v>0</v>
      </c>
      <c r="F27" s="217">
        <f>IFERROR(SUMIFS('01_Saldenlisten_Import'!$J:$J,'01_Saldenlisten_Import'!$A:$A,"2025-04",'01_Saldenlisten_Import'!$B:$B,"Mustermann GmbH",'01_Saldenlisten_Import'!$F:$F,"Steuern"),0)</f>
        <v>0</v>
      </c>
      <c r="G27" s="217">
        <f>IFERROR(SUMIFS('01_Saldenlisten_Import'!$J:$J,'01_Saldenlisten_Import'!$A:$A,"2025-05",'01_Saldenlisten_Import'!$B:$B,"Mustermann GmbH",'01_Saldenlisten_Import'!$F:$F,"Steuern"),0)</f>
        <v>0</v>
      </c>
      <c r="H27" s="217">
        <f>IFERROR(SUMIFS('01_Saldenlisten_Import'!$J:$J,'01_Saldenlisten_Import'!$A:$A,"2025-06",'01_Saldenlisten_Import'!$B:$B,"Mustermann GmbH",'01_Saldenlisten_Import'!$F:$F,"Steuern"),0)</f>
        <v>0</v>
      </c>
      <c r="I27" s="217">
        <f>IFERROR(SUMIFS('01_Saldenlisten_Import'!$J:$J,'01_Saldenlisten_Import'!$A:$A,"2025-07",'01_Saldenlisten_Import'!$B:$B,"Mustermann GmbH",'01_Saldenlisten_Import'!$F:$F,"Steuern"),0)</f>
        <v>0</v>
      </c>
      <c r="J27" s="217">
        <f>IFERROR(SUMIFS('01_Saldenlisten_Import'!$J:$J,'01_Saldenlisten_Import'!$A:$A,"2025-08",'01_Saldenlisten_Import'!$B:$B,"Mustermann GmbH",'01_Saldenlisten_Import'!$F:$F,"Steuern"),0)</f>
        <v>0</v>
      </c>
      <c r="K27" s="217">
        <f>IFERROR(SUMIFS('01_Saldenlisten_Import'!$J:$J,'01_Saldenlisten_Import'!$A:$A,"2025-09",'01_Saldenlisten_Import'!$B:$B,"Mustermann GmbH",'01_Saldenlisten_Import'!$F:$F,"Steuern"),0)</f>
        <v>0</v>
      </c>
      <c r="L27" s="217">
        <f>IFERROR(SUMIFS('01_Saldenlisten_Import'!$J:$J,'01_Saldenlisten_Import'!$A:$A,"2025-10",'01_Saldenlisten_Import'!$B:$B,"Mustermann GmbH",'01_Saldenlisten_Import'!$F:$F,"Steuern"),0)</f>
        <v>0</v>
      </c>
      <c r="M27" s="217">
        <f>IFERROR(SUMIFS('01_Saldenlisten_Import'!$J:$J,'01_Saldenlisten_Import'!$A:$A,"2025-11",'01_Saldenlisten_Import'!$B:$B,"Mustermann GmbH",'01_Saldenlisten_Import'!$F:$F,"Steuern"),0)</f>
        <v>0</v>
      </c>
      <c r="N27" s="217">
        <f>IFERROR(SUMIFS('01_Saldenlisten_Import'!$J:$J,'01_Saldenlisten_Import'!$A:$A,"2025-12",'01_Saldenlisten_Import'!$B:$B,"Mustermann GmbH",'01_Saldenlisten_Import'!$F:$F,"Steuern"),0)</f>
        <v>0</v>
      </c>
      <c r="O27" s="218">
        <f>IFERROR(SUM(C27:N27),0)</f>
        <v>0</v>
      </c>
    </row>
    <row r="28" spans="1:15" ht="19.5" customHeight="1" x14ac:dyDescent="0.2">
      <c r="A28" s="219"/>
      <c r="B28" s="243" t="s">
        <v>495</v>
      </c>
      <c r="C28" s="244">
        <f t="shared" ref="C28:N28" si="6">C25-C27</f>
        <v>22030</v>
      </c>
      <c r="D28" s="244">
        <f t="shared" si="6"/>
        <v>22085</v>
      </c>
      <c r="E28" s="244">
        <f t="shared" si="6"/>
        <v>21170</v>
      </c>
      <c r="F28" s="244">
        <f t="shared" si="6"/>
        <v>21348</v>
      </c>
      <c r="G28" s="244">
        <f t="shared" si="6"/>
        <v>21392</v>
      </c>
      <c r="H28" s="244">
        <f t="shared" si="6"/>
        <v>21735</v>
      </c>
      <c r="I28" s="244">
        <f t="shared" si="6"/>
        <v>21163</v>
      </c>
      <c r="J28" s="244">
        <f t="shared" si="6"/>
        <v>21578</v>
      </c>
      <c r="K28" s="244">
        <f t="shared" si="6"/>
        <v>22110</v>
      </c>
      <c r="L28" s="244">
        <f t="shared" si="6"/>
        <v>22500</v>
      </c>
      <c r="M28" s="244">
        <f t="shared" si="6"/>
        <v>24000</v>
      </c>
      <c r="N28" s="244">
        <f t="shared" si="6"/>
        <v>25500</v>
      </c>
      <c r="O28" s="222">
        <f>IFERROR(SUM(C28:N28),0)</f>
        <v>266611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6213E"/>
  </sheetPr>
  <dimension ref="A1:L25"/>
  <sheetViews>
    <sheetView showGridLines="0" zoomScaleNormal="100" workbookViewId="0">
      <pane ySplit="2" topLeftCell="A3" activePane="bottomLeft" state="frozen"/>
      <selection pane="bottomLeft" sqref="A1:L1"/>
    </sheetView>
  </sheetViews>
  <sheetFormatPr baseColWidth="10" defaultColWidth="8.6640625" defaultRowHeight="15" x14ac:dyDescent="0.2"/>
  <cols>
    <col min="1" max="1" width="4" customWidth="1"/>
    <col min="2" max="2" width="36" customWidth="1"/>
    <col min="3" max="14" width="18" customWidth="1"/>
  </cols>
  <sheetData>
    <row r="1" spans="1:12" ht="30" customHeight="1" x14ac:dyDescent="0.2">
      <c r="A1" s="14" t="s">
        <v>496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1.75" customHeight="1" x14ac:dyDescent="0.2">
      <c r="A2" s="15" t="s">
        <v>457</v>
      </c>
      <c r="B2" s="15" t="s">
        <v>497</v>
      </c>
      <c r="C2" s="15" t="s">
        <v>261</v>
      </c>
      <c r="D2" s="15" t="s">
        <v>262</v>
      </c>
      <c r="E2" s="15" t="s">
        <v>263</v>
      </c>
      <c r="F2" s="15" t="s">
        <v>264</v>
      </c>
      <c r="G2" s="15" t="s">
        <v>265</v>
      </c>
      <c r="H2" s="15" t="s">
        <v>266</v>
      </c>
      <c r="I2" s="15" t="s">
        <v>267</v>
      </c>
      <c r="J2" s="15" t="s">
        <v>268</v>
      </c>
      <c r="K2" s="15" t="s">
        <v>269</v>
      </c>
      <c r="L2" s="15" t="s">
        <v>498</v>
      </c>
    </row>
    <row r="3" spans="1:12" ht="19.5" customHeight="1" x14ac:dyDescent="0.2">
      <c r="A3" s="319" t="s">
        <v>499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</row>
    <row r="4" spans="1:12" ht="18" customHeight="1" x14ac:dyDescent="0.2">
      <c r="A4" s="245" t="s">
        <v>500</v>
      </c>
      <c r="B4" s="246" t="s">
        <v>501</v>
      </c>
      <c r="C4" s="247">
        <f>IFERROR(SUMIFS('01_Saldenlisten_Import'!$J:$J,'01_Saldenlisten_Import'!$A:$A,"2025-01",'01_Saldenlisten_Import'!$B:$B,"Mustermann GmbH",'01_Saldenlisten_Import'!$F:$F,"Anlagevermögen"),0)</f>
        <v>0</v>
      </c>
      <c r="D4" s="247">
        <f>IFERROR(SUMIFS('01_Saldenlisten_Import'!$J:$J,'01_Saldenlisten_Import'!$A:$A,"2025-02",'01_Saldenlisten_Import'!$B:$B,"Mustermann GmbH",'01_Saldenlisten_Import'!$F:$F,"Anlagevermögen"),0)</f>
        <v>0</v>
      </c>
      <c r="E4" s="247">
        <f>IFERROR(SUMIFS('01_Saldenlisten_Import'!$J:$J,'01_Saldenlisten_Import'!$A:$A,"2025-03",'01_Saldenlisten_Import'!$B:$B,"Mustermann GmbH",'01_Saldenlisten_Import'!$F:$F,"Anlagevermögen"),0)</f>
        <v>0</v>
      </c>
      <c r="F4" s="247">
        <f>IFERROR(SUMIFS('01_Saldenlisten_Import'!$J:$J,'01_Saldenlisten_Import'!$A:$A,"2025-04",'01_Saldenlisten_Import'!$B:$B,"Mustermann GmbH",'01_Saldenlisten_Import'!$F:$F,"Anlagevermögen"),0)</f>
        <v>0</v>
      </c>
      <c r="G4" s="247">
        <f>IFERROR(SUMIFS('01_Saldenlisten_Import'!$J:$J,'01_Saldenlisten_Import'!$A:$A,"2025-05",'01_Saldenlisten_Import'!$B:$B,"Mustermann GmbH",'01_Saldenlisten_Import'!$F:$F,"Anlagevermögen"),0)</f>
        <v>0</v>
      </c>
      <c r="H4" s="247">
        <f>IFERROR(SUMIFS('01_Saldenlisten_Import'!$J:$J,'01_Saldenlisten_Import'!$A:$A,"2025-06",'01_Saldenlisten_Import'!$B:$B,"Mustermann GmbH",'01_Saldenlisten_Import'!$F:$F,"Anlagevermögen"),0)</f>
        <v>0</v>
      </c>
      <c r="I4" s="247">
        <f>IFERROR(SUMIFS('01_Saldenlisten_Import'!$J:$J,'01_Saldenlisten_Import'!$A:$A,"2025-07",'01_Saldenlisten_Import'!$B:$B,"Mustermann GmbH",'01_Saldenlisten_Import'!$F:$F,"Anlagevermögen"),0)</f>
        <v>0</v>
      </c>
      <c r="J4" s="247">
        <f>IFERROR(SUMIFS('01_Saldenlisten_Import'!$J:$J,'01_Saldenlisten_Import'!$A:$A,"2025-08",'01_Saldenlisten_Import'!$B:$B,"Mustermann GmbH",'01_Saldenlisten_Import'!$F:$F,"Anlagevermögen"),0)</f>
        <v>0</v>
      </c>
      <c r="K4" s="247">
        <f>IFERROR(SUMIFS('01_Saldenlisten_Import'!$J:$J,'01_Saldenlisten_Import'!$A:$A,"2025-09",'01_Saldenlisten_Import'!$B:$B,"Mustermann GmbH",'01_Saldenlisten_Import'!$F:$F,"Anlagevermögen"),0)</f>
        <v>0</v>
      </c>
      <c r="L4" s="248">
        <f>IFERROR(SUM(C4:K4),0)</f>
        <v>0</v>
      </c>
    </row>
    <row r="5" spans="1:12" ht="18" customHeight="1" x14ac:dyDescent="0.2">
      <c r="A5" s="249" t="s">
        <v>502</v>
      </c>
      <c r="B5" s="250" t="s">
        <v>503</v>
      </c>
      <c r="C5" s="251">
        <f>IFERROR(SUMIFS('01_Saldenlisten_Import'!$J:$J,'01_Saldenlisten_Import'!$A:$A,"2025-01",'01_Saldenlisten_Import'!$B:$B,"Mustermann GmbH",'01_Saldenlisten_Import'!$F:$F,"Anlagevermögen"),0)</f>
        <v>0</v>
      </c>
      <c r="D5" s="251">
        <f>IFERROR(SUMIFS('01_Saldenlisten_Import'!$J:$J,'01_Saldenlisten_Import'!$A:$A,"2025-02",'01_Saldenlisten_Import'!$B:$B,"Mustermann GmbH",'01_Saldenlisten_Import'!$F:$F,"Anlagevermögen"),0)</f>
        <v>0</v>
      </c>
      <c r="E5" s="251">
        <f>IFERROR(SUMIFS('01_Saldenlisten_Import'!$J:$J,'01_Saldenlisten_Import'!$A:$A,"2025-03",'01_Saldenlisten_Import'!$B:$B,"Mustermann GmbH",'01_Saldenlisten_Import'!$F:$F,"Anlagevermögen"),0)</f>
        <v>0</v>
      </c>
      <c r="F5" s="251">
        <f>IFERROR(SUMIFS('01_Saldenlisten_Import'!$J:$J,'01_Saldenlisten_Import'!$A:$A,"2025-04",'01_Saldenlisten_Import'!$B:$B,"Mustermann GmbH",'01_Saldenlisten_Import'!$F:$F,"Anlagevermögen"),0)</f>
        <v>0</v>
      </c>
      <c r="G5" s="251">
        <f>IFERROR(SUMIFS('01_Saldenlisten_Import'!$J:$J,'01_Saldenlisten_Import'!$A:$A,"2025-05",'01_Saldenlisten_Import'!$B:$B,"Mustermann GmbH",'01_Saldenlisten_Import'!$F:$F,"Anlagevermögen"),0)</f>
        <v>0</v>
      </c>
      <c r="H5" s="251">
        <f>IFERROR(SUMIFS('01_Saldenlisten_Import'!$J:$J,'01_Saldenlisten_Import'!$A:$A,"2025-06",'01_Saldenlisten_Import'!$B:$B,"Mustermann GmbH",'01_Saldenlisten_Import'!$F:$F,"Anlagevermögen"),0)</f>
        <v>0</v>
      </c>
      <c r="I5" s="251">
        <f>IFERROR(SUMIFS('01_Saldenlisten_Import'!$J:$J,'01_Saldenlisten_Import'!$A:$A,"2025-07",'01_Saldenlisten_Import'!$B:$B,"Mustermann GmbH",'01_Saldenlisten_Import'!$F:$F,"Anlagevermögen"),0)</f>
        <v>0</v>
      </c>
      <c r="J5" s="251">
        <f>IFERROR(SUMIFS('01_Saldenlisten_Import'!$J:$J,'01_Saldenlisten_Import'!$A:$A,"2025-08",'01_Saldenlisten_Import'!$B:$B,"Mustermann GmbH",'01_Saldenlisten_Import'!$F:$F,"Anlagevermögen"),0)</f>
        <v>0</v>
      </c>
      <c r="K5" s="251">
        <f>IFERROR(SUMIFS('01_Saldenlisten_Import'!$J:$J,'01_Saldenlisten_Import'!$A:$A,"2025-09",'01_Saldenlisten_Import'!$B:$B,"Mustermann GmbH",'01_Saldenlisten_Import'!$F:$F,"Anlagevermögen"),0)</f>
        <v>0</v>
      </c>
      <c r="L5" s="252">
        <f>IFERROR(SUM(C5:K5),0)</f>
        <v>0</v>
      </c>
    </row>
    <row r="6" spans="1:12" ht="18" customHeight="1" x14ac:dyDescent="0.2">
      <c r="A6" s="249" t="s">
        <v>504</v>
      </c>
      <c r="B6" s="250" t="s">
        <v>505</v>
      </c>
      <c r="C6" s="251">
        <f>IFERROR(SUMIFS('01_Saldenlisten_Import'!$J:$J,'01_Saldenlisten_Import'!$A:$A,"2025-01",'01_Saldenlisten_Import'!$B:$B,"Mustermann GmbH",'01_Saldenlisten_Import'!$F:$F,"Anlagevermögen"),0)</f>
        <v>0</v>
      </c>
      <c r="D6" s="251">
        <f>IFERROR(SUMIFS('01_Saldenlisten_Import'!$J:$J,'01_Saldenlisten_Import'!$A:$A,"2025-02",'01_Saldenlisten_Import'!$B:$B,"Mustermann GmbH",'01_Saldenlisten_Import'!$F:$F,"Anlagevermögen"),0)</f>
        <v>0</v>
      </c>
      <c r="E6" s="251">
        <f>IFERROR(SUMIFS('01_Saldenlisten_Import'!$J:$J,'01_Saldenlisten_Import'!$A:$A,"2025-03",'01_Saldenlisten_Import'!$B:$B,"Mustermann GmbH",'01_Saldenlisten_Import'!$F:$F,"Anlagevermögen"),0)</f>
        <v>0</v>
      </c>
      <c r="F6" s="251">
        <f>IFERROR(SUMIFS('01_Saldenlisten_Import'!$J:$J,'01_Saldenlisten_Import'!$A:$A,"2025-04",'01_Saldenlisten_Import'!$B:$B,"Mustermann GmbH",'01_Saldenlisten_Import'!$F:$F,"Anlagevermögen"),0)</f>
        <v>0</v>
      </c>
      <c r="G6" s="251">
        <f>IFERROR(SUMIFS('01_Saldenlisten_Import'!$J:$J,'01_Saldenlisten_Import'!$A:$A,"2025-05",'01_Saldenlisten_Import'!$B:$B,"Mustermann GmbH",'01_Saldenlisten_Import'!$F:$F,"Anlagevermögen"),0)</f>
        <v>0</v>
      </c>
      <c r="H6" s="251">
        <f>IFERROR(SUMIFS('01_Saldenlisten_Import'!$J:$J,'01_Saldenlisten_Import'!$A:$A,"2025-06",'01_Saldenlisten_Import'!$B:$B,"Mustermann GmbH",'01_Saldenlisten_Import'!$F:$F,"Anlagevermögen"),0)</f>
        <v>0</v>
      </c>
      <c r="I6" s="251">
        <f>IFERROR(SUMIFS('01_Saldenlisten_Import'!$J:$J,'01_Saldenlisten_Import'!$A:$A,"2025-07",'01_Saldenlisten_Import'!$B:$B,"Mustermann GmbH",'01_Saldenlisten_Import'!$F:$F,"Anlagevermögen"),0)</f>
        <v>0</v>
      </c>
      <c r="J6" s="251">
        <f>IFERROR(SUMIFS('01_Saldenlisten_Import'!$J:$J,'01_Saldenlisten_Import'!$A:$A,"2025-08",'01_Saldenlisten_Import'!$B:$B,"Mustermann GmbH",'01_Saldenlisten_Import'!$F:$F,"Anlagevermögen"),0)</f>
        <v>0</v>
      </c>
      <c r="K6" s="251">
        <f>IFERROR(SUMIFS('01_Saldenlisten_Import'!$J:$J,'01_Saldenlisten_Import'!$A:$A,"2025-09",'01_Saldenlisten_Import'!$B:$B,"Mustermann GmbH",'01_Saldenlisten_Import'!$F:$F,"Anlagevermögen"),0)</f>
        <v>0</v>
      </c>
      <c r="L6" s="252">
        <f>IFERROR(SUM(C6:K6),0)</f>
        <v>0</v>
      </c>
    </row>
    <row r="7" spans="1:12" ht="19.5" customHeight="1" x14ac:dyDescent="0.2">
      <c r="A7" s="253"/>
      <c r="B7" s="254" t="s">
        <v>506</v>
      </c>
      <c r="C7" s="255">
        <f t="shared" ref="C7:L7" si="0">IFERROR(SUM(C4:C6),0)</f>
        <v>0</v>
      </c>
      <c r="D7" s="255">
        <f t="shared" si="0"/>
        <v>0</v>
      </c>
      <c r="E7" s="255">
        <f t="shared" si="0"/>
        <v>0</v>
      </c>
      <c r="F7" s="255">
        <f t="shared" si="0"/>
        <v>0</v>
      </c>
      <c r="G7" s="255">
        <f t="shared" si="0"/>
        <v>0</v>
      </c>
      <c r="H7" s="255">
        <f t="shared" si="0"/>
        <v>0</v>
      </c>
      <c r="I7" s="255">
        <f t="shared" si="0"/>
        <v>0</v>
      </c>
      <c r="J7" s="255">
        <f t="shared" si="0"/>
        <v>0</v>
      </c>
      <c r="K7" s="255">
        <f t="shared" si="0"/>
        <v>0</v>
      </c>
      <c r="L7" s="256">
        <f t="shared" si="0"/>
        <v>0</v>
      </c>
    </row>
    <row r="8" spans="1:12" ht="18" customHeight="1" x14ac:dyDescent="0.2">
      <c r="A8" s="257"/>
      <c r="B8" s="257"/>
      <c r="C8" s="257"/>
      <c r="D8" s="257"/>
      <c r="E8" s="257"/>
      <c r="F8" s="257"/>
      <c r="G8" s="257"/>
      <c r="H8" s="257"/>
      <c r="I8" s="257"/>
      <c r="J8" s="257"/>
      <c r="K8" s="257"/>
      <c r="L8" s="257"/>
    </row>
    <row r="9" spans="1:12" ht="18" customHeight="1" x14ac:dyDescent="0.2">
      <c r="A9" s="258" t="s">
        <v>507</v>
      </c>
      <c r="B9" s="259" t="s">
        <v>508</v>
      </c>
      <c r="C9" s="260">
        <f>IFERROR(SUMIFS('01_Saldenlisten_Import'!$J:$J,'01_Saldenlisten_Import'!$A:$A,"2025-01",'01_Saldenlisten_Import'!$B:$B,"Mustermann GmbH",'01_Saldenlisten_Import'!$F:$F,"Vorräte"),0)</f>
        <v>0</v>
      </c>
      <c r="D9" s="260">
        <f>IFERROR(SUMIFS('01_Saldenlisten_Import'!$J:$J,'01_Saldenlisten_Import'!$A:$A,"2025-02",'01_Saldenlisten_Import'!$B:$B,"Mustermann GmbH",'01_Saldenlisten_Import'!$F:$F,"Vorräte"),0)</f>
        <v>0</v>
      </c>
      <c r="E9" s="260">
        <f>IFERROR(SUMIFS('01_Saldenlisten_Import'!$J:$J,'01_Saldenlisten_Import'!$A:$A,"2025-03",'01_Saldenlisten_Import'!$B:$B,"Mustermann GmbH",'01_Saldenlisten_Import'!$F:$F,"Vorräte"),0)</f>
        <v>0</v>
      </c>
      <c r="F9" s="260">
        <f>IFERROR(SUMIFS('01_Saldenlisten_Import'!$J:$J,'01_Saldenlisten_Import'!$A:$A,"2025-04",'01_Saldenlisten_Import'!$B:$B,"Mustermann GmbH",'01_Saldenlisten_Import'!$F:$F,"Vorräte"),0)</f>
        <v>0</v>
      </c>
      <c r="G9" s="260">
        <f>IFERROR(SUMIFS('01_Saldenlisten_Import'!$J:$J,'01_Saldenlisten_Import'!$A:$A,"2025-05",'01_Saldenlisten_Import'!$B:$B,"Mustermann GmbH",'01_Saldenlisten_Import'!$F:$F,"Vorräte"),0)</f>
        <v>0</v>
      </c>
      <c r="H9" s="260">
        <f>IFERROR(SUMIFS('01_Saldenlisten_Import'!$J:$J,'01_Saldenlisten_Import'!$A:$A,"2025-06",'01_Saldenlisten_Import'!$B:$B,"Mustermann GmbH",'01_Saldenlisten_Import'!$F:$F,"Vorräte"),0)</f>
        <v>0</v>
      </c>
      <c r="I9" s="260">
        <f>IFERROR(SUMIFS('01_Saldenlisten_Import'!$J:$J,'01_Saldenlisten_Import'!$A:$A,"2025-07",'01_Saldenlisten_Import'!$B:$B,"Mustermann GmbH",'01_Saldenlisten_Import'!$F:$F,"Vorräte"),0)</f>
        <v>0</v>
      </c>
      <c r="J9" s="260">
        <f>IFERROR(SUMIFS('01_Saldenlisten_Import'!$J:$J,'01_Saldenlisten_Import'!$A:$A,"2025-08",'01_Saldenlisten_Import'!$B:$B,"Mustermann GmbH",'01_Saldenlisten_Import'!$F:$F,"Vorräte"),0)</f>
        <v>0</v>
      </c>
      <c r="K9" s="260">
        <f>IFERROR(SUMIFS('01_Saldenlisten_Import'!$J:$J,'01_Saldenlisten_Import'!$A:$A,"2025-09",'01_Saldenlisten_Import'!$B:$B,"Mustermann GmbH",'01_Saldenlisten_Import'!$F:$F,"Vorräte"),0)</f>
        <v>0</v>
      </c>
      <c r="L9" s="261">
        <f>IFERROR(SUM(C9:K9),0)</f>
        <v>0</v>
      </c>
    </row>
    <row r="10" spans="1:12" ht="18" customHeight="1" x14ac:dyDescent="0.2">
      <c r="A10" s="258" t="s">
        <v>509</v>
      </c>
      <c r="B10" s="259" t="s">
        <v>510</v>
      </c>
      <c r="C10" s="260">
        <f>IFERROR(SUMIFS('01_Saldenlisten_Import'!$J:$J,'01_Saldenlisten_Import'!$A:$A,"2025-01",'01_Saldenlisten_Import'!$B:$B,"Mustermann GmbH",'01_Saldenlisten_Import'!$F:$F,"Forderungen"),0)</f>
        <v>45000</v>
      </c>
      <c r="D10" s="260">
        <f>IFERROR(SUMIFS('01_Saldenlisten_Import'!$J:$J,'01_Saldenlisten_Import'!$A:$A,"2025-02",'01_Saldenlisten_Import'!$B:$B,"Mustermann GmbH",'01_Saldenlisten_Import'!$F:$F,"Forderungen"),0)</f>
        <v>46500</v>
      </c>
      <c r="E10" s="260">
        <f>IFERROR(SUMIFS('01_Saldenlisten_Import'!$J:$J,'01_Saldenlisten_Import'!$A:$A,"2025-03",'01_Saldenlisten_Import'!$B:$B,"Mustermann GmbH",'01_Saldenlisten_Import'!$F:$F,"Forderungen"),0)</f>
        <v>48000</v>
      </c>
      <c r="F10" s="260">
        <f>IFERROR(SUMIFS('01_Saldenlisten_Import'!$J:$J,'01_Saldenlisten_Import'!$A:$A,"2025-04",'01_Saldenlisten_Import'!$B:$B,"Mustermann GmbH",'01_Saldenlisten_Import'!$F:$F,"Forderungen"),0)</f>
        <v>45000</v>
      </c>
      <c r="G10" s="260">
        <f>IFERROR(SUMIFS('01_Saldenlisten_Import'!$J:$J,'01_Saldenlisten_Import'!$A:$A,"2025-05",'01_Saldenlisten_Import'!$B:$B,"Mustermann GmbH",'01_Saldenlisten_Import'!$F:$F,"Forderungen"),0)</f>
        <v>48500</v>
      </c>
      <c r="H10" s="260">
        <f>IFERROR(SUMIFS('01_Saldenlisten_Import'!$J:$J,'01_Saldenlisten_Import'!$A:$A,"2025-06",'01_Saldenlisten_Import'!$B:$B,"Mustermann GmbH",'01_Saldenlisten_Import'!$F:$F,"Forderungen"),0)</f>
        <v>50000</v>
      </c>
      <c r="I10" s="260">
        <f>IFERROR(SUMIFS('01_Saldenlisten_Import'!$J:$J,'01_Saldenlisten_Import'!$A:$A,"2025-07",'01_Saldenlisten_Import'!$B:$B,"Mustermann GmbH",'01_Saldenlisten_Import'!$F:$F,"Forderungen"),0)</f>
        <v>49000</v>
      </c>
      <c r="J10" s="260">
        <f>IFERROR(SUMIFS('01_Saldenlisten_Import'!$J:$J,'01_Saldenlisten_Import'!$A:$A,"2025-08",'01_Saldenlisten_Import'!$B:$B,"Mustermann GmbH",'01_Saldenlisten_Import'!$F:$F,"Forderungen"),0)</f>
        <v>51000</v>
      </c>
      <c r="K10" s="260">
        <f>IFERROR(SUMIFS('01_Saldenlisten_Import'!$J:$J,'01_Saldenlisten_Import'!$A:$A,"2025-09",'01_Saldenlisten_Import'!$B:$B,"Mustermann GmbH",'01_Saldenlisten_Import'!$F:$F,"Forderungen"),0)</f>
        <v>52000</v>
      </c>
      <c r="L10" s="261">
        <f>IFERROR(SUM(C10:K10),0)</f>
        <v>435000</v>
      </c>
    </row>
    <row r="11" spans="1:12" ht="18" customHeight="1" x14ac:dyDescent="0.2">
      <c r="A11" s="258" t="s">
        <v>511</v>
      </c>
      <c r="B11" s="259" t="s">
        <v>512</v>
      </c>
      <c r="C11" s="260">
        <f>IFERROR(SUMIFS('01_Saldenlisten_Import'!$J:$J,'01_Saldenlisten_Import'!$A:$A,"2025-01",'01_Saldenlisten_Import'!$B:$B,"Mustermann GmbH",'01_Saldenlisten_Import'!$F:$F,"Bankguthaben"),0)</f>
        <v>24000</v>
      </c>
      <c r="D11" s="260">
        <f>IFERROR(SUMIFS('01_Saldenlisten_Import'!$J:$J,'01_Saldenlisten_Import'!$A:$A,"2025-02",'01_Saldenlisten_Import'!$B:$B,"Mustermann GmbH",'01_Saldenlisten_Import'!$F:$F,"Bankguthaben"),0)</f>
        <v>25000</v>
      </c>
      <c r="E11" s="260">
        <f>IFERROR(SUMIFS('01_Saldenlisten_Import'!$J:$J,'01_Saldenlisten_Import'!$A:$A,"2025-03",'01_Saldenlisten_Import'!$B:$B,"Mustermann GmbH",'01_Saldenlisten_Import'!$F:$F,"Bankguthaben"),0)</f>
        <v>27000</v>
      </c>
      <c r="F11" s="260">
        <f>IFERROR(SUMIFS('01_Saldenlisten_Import'!$J:$J,'01_Saldenlisten_Import'!$A:$A,"2025-04",'01_Saldenlisten_Import'!$B:$B,"Mustermann GmbH",'01_Saldenlisten_Import'!$F:$F,"Bankguthaben"),0)</f>
        <v>26000</v>
      </c>
      <c r="G11" s="260">
        <f>IFERROR(SUMIFS('01_Saldenlisten_Import'!$J:$J,'01_Saldenlisten_Import'!$A:$A,"2025-05",'01_Saldenlisten_Import'!$B:$B,"Mustermann GmbH",'01_Saldenlisten_Import'!$F:$F,"Bankguthaben"),0)</f>
        <v>28500</v>
      </c>
      <c r="H11" s="260">
        <f>IFERROR(SUMIFS('01_Saldenlisten_Import'!$J:$J,'01_Saldenlisten_Import'!$A:$A,"2025-06",'01_Saldenlisten_Import'!$B:$B,"Mustermann GmbH",'01_Saldenlisten_Import'!$F:$F,"Bankguthaben"),0)</f>
        <v>29500</v>
      </c>
      <c r="I11" s="260">
        <f>IFERROR(SUMIFS('01_Saldenlisten_Import'!$J:$J,'01_Saldenlisten_Import'!$A:$A,"2025-07",'01_Saldenlisten_Import'!$B:$B,"Mustermann GmbH",'01_Saldenlisten_Import'!$F:$F,"Bankguthaben"),0)</f>
        <v>29500</v>
      </c>
      <c r="J11" s="260">
        <f>IFERROR(SUMIFS('01_Saldenlisten_Import'!$J:$J,'01_Saldenlisten_Import'!$A:$A,"2025-08",'01_Saldenlisten_Import'!$B:$B,"Mustermann GmbH",'01_Saldenlisten_Import'!$F:$F,"Bankguthaben"),0)</f>
        <v>31000</v>
      </c>
      <c r="K11" s="260">
        <f>IFERROR(SUMIFS('01_Saldenlisten_Import'!$J:$J,'01_Saldenlisten_Import'!$A:$A,"2025-09",'01_Saldenlisten_Import'!$B:$B,"Mustermann GmbH",'01_Saldenlisten_Import'!$F:$F,"Bankguthaben"),0)</f>
        <v>31500</v>
      </c>
      <c r="L11" s="261">
        <f>IFERROR(SUM(C11:K11),0)</f>
        <v>252000</v>
      </c>
    </row>
    <row r="12" spans="1:12" ht="18" customHeight="1" x14ac:dyDescent="0.2">
      <c r="A12" s="258" t="s">
        <v>513</v>
      </c>
      <c r="B12" s="259" t="s">
        <v>514</v>
      </c>
      <c r="C12" s="260">
        <f>IFERROR(SUMIFS('01_Saldenlisten_Import'!$J:$J,'01_Saldenlisten_Import'!$A:$A,"2025-01",'01_Saldenlisten_Import'!$B:$B,"Mustermann GmbH",'01_Saldenlisten_Import'!$F:$F,"Kassenbestand"),0)</f>
        <v>0</v>
      </c>
      <c r="D12" s="260">
        <f>IFERROR(SUMIFS('01_Saldenlisten_Import'!$J:$J,'01_Saldenlisten_Import'!$A:$A,"2025-02",'01_Saldenlisten_Import'!$B:$B,"Mustermann GmbH",'01_Saldenlisten_Import'!$F:$F,"Kassenbestand"),0)</f>
        <v>0</v>
      </c>
      <c r="E12" s="260">
        <f>IFERROR(SUMIFS('01_Saldenlisten_Import'!$J:$J,'01_Saldenlisten_Import'!$A:$A,"2025-03",'01_Saldenlisten_Import'!$B:$B,"Mustermann GmbH",'01_Saldenlisten_Import'!$F:$F,"Kassenbestand"),0)</f>
        <v>0</v>
      </c>
      <c r="F12" s="260">
        <f>IFERROR(SUMIFS('01_Saldenlisten_Import'!$J:$J,'01_Saldenlisten_Import'!$A:$A,"2025-04",'01_Saldenlisten_Import'!$B:$B,"Mustermann GmbH",'01_Saldenlisten_Import'!$F:$F,"Kassenbestand"),0)</f>
        <v>0</v>
      </c>
      <c r="G12" s="260">
        <f>IFERROR(SUMIFS('01_Saldenlisten_Import'!$J:$J,'01_Saldenlisten_Import'!$A:$A,"2025-05",'01_Saldenlisten_Import'!$B:$B,"Mustermann GmbH",'01_Saldenlisten_Import'!$F:$F,"Kassenbestand"),0)</f>
        <v>0</v>
      </c>
      <c r="H12" s="260">
        <f>IFERROR(SUMIFS('01_Saldenlisten_Import'!$J:$J,'01_Saldenlisten_Import'!$A:$A,"2025-06",'01_Saldenlisten_Import'!$B:$B,"Mustermann GmbH",'01_Saldenlisten_Import'!$F:$F,"Kassenbestand"),0)</f>
        <v>0</v>
      </c>
      <c r="I12" s="260">
        <f>IFERROR(SUMIFS('01_Saldenlisten_Import'!$J:$J,'01_Saldenlisten_Import'!$A:$A,"2025-07",'01_Saldenlisten_Import'!$B:$B,"Mustermann GmbH",'01_Saldenlisten_Import'!$F:$F,"Kassenbestand"),0)</f>
        <v>0</v>
      </c>
      <c r="J12" s="260">
        <f>IFERROR(SUMIFS('01_Saldenlisten_Import'!$J:$J,'01_Saldenlisten_Import'!$A:$A,"2025-08",'01_Saldenlisten_Import'!$B:$B,"Mustermann GmbH",'01_Saldenlisten_Import'!$F:$F,"Kassenbestand"),0)</f>
        <v>0</v>
      </c>
      <c r="K12" s="260">
        <f>IFERROR(SUMIFS('01_Saldenlisten_Import'!$J:$J,'01_Saldenlisten_Import'!$A:$A,"2025-09",'01_Saldenlisten_Import'!$B:$B,"Mustermann GmbH",'01_Saldenlisten_Import'!$F:$F,"Kassenbestand"),0)</f>
        <v>0</v>
      </c>
      <c r="L12" s="261">
        <f>IFERROR(SUM(C12:K12),0)</f>
        <v>0</v>
      </c>
    </row>
    <row r="13" spans="1:12" ht="18" customHeight="1" x14ac:dyDescent="0.2">
      <c r="A13" s="258" t="s">
        <v>515</v>
      </c>
      <c r="B13" s="259" t="s">
        <v>516</v>
      </c>
      <c r="C13" s="260">
        <f>IFERROR(SUMIFS('01_Saldenlisten_Import'!$J:$J,'01_Saldenlisten_Import'!$A:$A,"2025-01",'01_Saldenlisten_Import'!$B:$B,"Mustermann GmbH",'01_Saldenlisten_Import'!$F:$F,"Vorsteuer"),0)</f>
        <v>0</v>
      </c>
      <c r="D13" s="260">
        <f>IFERROR(SUMIFS('01_Saldenlisten_Import'!$J:$J,'01_Saldenlisten_Import'!$A:$A,"2025-02",'01_Saldenlisten_Import'!$B:$B,"Mustermann GmbH",'01_Saldenlisten_Import'!$F:$F,"Vorsteuer"),0)</f>
        <v>0</v>
      </c>
      <c r="E13" s="260">
        <f>IFERROR(SUMIFS('01_Saldenlisten_Import'!$J:$J,'01_Saldenlisten_Import'!$A:$A,"2025-03",'01_Saldenlisten_Import'!$B:$B,"Mustermann GmbH",'01_Saldenlisten_Import'!$F:$F,"Vorsteuer"),0)</f>
        <v>0</v>
      </c>
      <c r="F13" s="260">
        <f>IFERROR(SUMIFS('01_Saldenlisten_Import'!$J:$J,'01_Saldenlisten_Import'!$A:$A,"2025-04",'01_Saldenlisten_Import'!$B:$B,"Mustermann GmbH",'01_Saldenlisten_Import'!$F:$F,"Vorsteuer"),0)</f>
        <v>0</v>
      </c>
      <c r="G13" s="260">
        <f>IFERROR(SUMIFS('01_Saldenlisten_Import'!$J:$J,'01_Saldenlisten_Import'!$A:$A,"2025-05",'01_Saldenlisten_Import'!$B:$B,"Mustermann GmbH",'01_Saldenlisten_Import'!$F:$F,"Vorsteuer"),0)</f>
        <v>0</v>
      </c>
      <c r="H13" s="260">
        <f>IFERROR(SUMIFS('01_Saldenlisten_Import'!$J:$J,'01_Saldenlisten_Import'!$A:$A,"2025-06",'01_Saldenlisten_Import'!$B:$B,"Mustermann GmbH",'01_Saldenlisten_Import'!$F:$F,"Vorsteuer"),0)</f>
        <v>0</v>
      </c>
      <c r="I13" s="260">
        <f>IFERROR(SUMIFS('01_Saldenlisten_Import'!$J:$J,'01_Saldenlisten_Import'!$A:$A,"2025-07",'01_Saldenlisten_Import'!$B:$B,"Mustermann GmbH",'01_Saldenlisten_Import'!$F:$F,"Vorsteuer"),0)</f>
        <v>0</v>
      </c>
      <c r="J13" s="260">
        <f>IFERROR(SUMIFS('01_Saldenlisten_Import'!$J:$J,'01_Saldenlisten_Import'!$A:$A,"2025-08",'01_Saldenlisten_Import'!$B:$B,"Mustermann GmbH",'01_Saldenlisten_Import'!$F:$F,"Vorsteuer"),0)</f>
        <v>0</v>
      </c>
      <c r="K13" s="260">
        <f>IFERROR(SUMIFS('01_Saldenlisten_Import'!$J:$J,'01_Saldenlisten_Import'!$A:$A,"2025-09",'01_Saldenlisten_Import'!$B:$B,"Mustermann GmbH",'01_Saldenlisten_Import'!$F:$F,"Vorsteuer"),0)</f>
        <v>0</v>
      </c>
      <c r="L13" s="261">
        <f>IFERROR(SUM(C13:K13),0)</f>
        <v>0</v>
      </c>
    </row>
    <row r="14" spans="1:12" ht="19.5" customHeight="1" x14ac:dyDescent="0.2">
      <c r="A14" s="253"/>
      <c r="B14" s="254" t="s">
        <v>517</v>
      </c>
      <c r="C14" s="255">
        <f t="shared" ref="C14:L14" si="1">IFERROR(SUM(C9:C13),0)</f>
        <v>69000</v>
      </c>
      <c r="D14" s="255">
        <f t="shared" si="1"/>
        <v>71500</v>
      </c>
      <c r="E14" s="255">
        <f t="shared" si="1"/>
        <v>75000</v>
      </c>
      <c r="F14" s="255">
        <f t="shared" si="1"/>
        <v>71000</v>
      </c>
      <c r="G14" s="255">
        <f t="shared" si="1"/>
        <v>77000</v>
      </c>
      <c r="H14" s="255">
        <f t="shared" si="1"/>
        <v>79500</v>
      </c>
      <c r="I14" s="255">
        <f t="shared" si="1"/>
        <v>78500</v>
      </c>
      <c r="J14" s="255">
        <f t="shared" si="1"/>
        <v>82000</v>
      </c>
      <c r="K14" s="255">
        <f t="shared" si="1"/>
        <v>83500</v>
      </c>
      <c r="L14" s="256">
        <f t="shared" si="1"/>
        <v>687000</v>
      </c>
    </row>
    <row r="15" spans="1:12" ht="19.5" customHeight="1" x14ac:dyDescent="0.2">
      <c r="A15" s="262"/>
      <c r="B15" s="263" t="s">
        <v>518</v>
      </c>
      <c r="C15" s="264">
        <f t="shared" ref="C15:L15" si="2">IFERROR(C7+C14,0)</f>
        <v>69000</v>
      </c>
      <c r="D15" s="264">
        <f t="shared" si="2"/>
        <v>71500</v>
      </c>
      <c r="E15" s="264">
        <f t="shared" si="2"/>
        <v>75000</v>
      </c>
      <c r="F15" s="264">
        <f t="shared" si="2"/>
        <v>71000</v>
      </c>
      <c r="G15" s="264">
        <f t="shared" si="2"/>
        <v>77000</v>
      </c>
      <c r="H15" s="264">
        <f t="shared" si="2"/>
        <v>79500</v>
      </c>
      <c r="I15" s="264">
        <f t="shared" si="2"/>
        <v>78500</v>
      </c>
      <c r="J15" s="264">
        <f t="shared" si="2"/>
        <v>82000</v>
      </c>
      <c r="K15" s="264">
        <f t="shared" si="2"/>
        <v>83500</v>
      </c>
      <c r="L15" s="265">
        <f t="shared" si="2"/>
        <v>687000</v>
      </c>
    </row>
    <row r="16" spans="1:12" ht="19.5" customHeight="1" x14ac:dyDescent="0.2">
      <c r="A16" s="320" t="s">
        <v>519</v>
      </c>
      <c r="B16" s="320"/>
      <c r="C16" s="320"/>
      <c r="D16" s="320"/>
      <c r="E16" s="320"/>
      <c r="F16" s="320"/>
      <c r="G16" s="320"/>
      <c r="H16" s="320"/>
      <c r="I16" s="320"/>
      <c r="J16" s="320"/>
      <c r="K16" s="320"/>
      <c r="L16" s="320"/>
    </row>
    <row r="17" spans="1:12" ht="18" customHeight="1" x14ac:dyDescent="0.2">
      <c r="A17" s="266" t="s">
        <v>520</v>
      </c>
      <c r="B17" s="267" t="s">
        <v>521</v>
      </c>
      <c r="C17" s="268">
        <f>IFERROR(SUMIFS('01_Saldenlisten_Import'!$J:$J,'01_Saldenlisten_Import'!$A:$A,"2025-01",'01_Saldenlisten_Import'!$B:$B,"Mustermann GmbH",'01_Saldenlisten_Import'!$F:$F,"Eigenkapital"),0)</f>
        <v>0</v>
      </c>
      <c r="D17" s="268">
        <f>IFERROR(SUMIFS('01_Saldenlisten_Import'!$J:$J,'01_Saldenlisten_Import'!$A:$A,"2025-02",'01_Saldenlisten_Import'!$B:$B,"Mustermann GmbH",'01_Saldenlisten_Import'!$F:$F,"Eigenkapital"),0)</f>
        <v>0</v>
      </c>
      <c r="E17" s="268">
        <f>IFERROR(SUMIFS('01_Saldenlisten_Import'!$J:$J,'01_Saldenlisten_Import'!$A:$A,"2025-03",'01_Saldenlisten_Import'!$B:$B,"Mustermann GmbH",'01_Saldenlisten_Import'!$F:$F,"Eigenkapital"),0)</f>
        <v>0</v>
      </c>
      <c r="F17" s="268">
        <f>IFERROR(SUMIFS('01_Saldenlisten_Import'!$J:$J,'01_Saldenlisten_Import'!$A:$A,"2025-04",'01_Saldenlisten_Import'!$B:$B,"Mustermann GmbH",'01_Saldenlisten_Import'!$F:$F,"Eigenkapital"),0)</f>
        <v>0</v>
      </c>
      <c r="G17" s="268">
        <f>IFERROR(SUMIFS('01_Saldenlisten_Import'!$J:$J,'01_Saldenlisten_Import'!$A:$A,"2025-05",'01_Saldenlisten_Import'!$B:$B,"Mustermann GmbH",'01_Saldenlisten_Import'!$F:$F,"Eigenkapital"),0)</f>
        <v>0</v>
      </c>
      <c r="H17" s="268">
        <f>IFERROR(SUMIFS('01_Saldenlisten_Import'!$J:$J,'01_Saldenlisten_Import'!$A:$A,"2025-06",'01_Saldenlisten_Import'!$B:$B,"Mustermann GmbH",'01_Saldenlisten_Import'!$F:$F,"Eigenkapital"),0)</f>
        <v>0</v>
      </c>
      <c r="I17" s="268">
        <f>IFERROR(SUMIFS('01_Saldenlisten_Import'!$J:$J,'01_Saldenlisten_Import'!$A:$A,"2025-07",'01_Saldenlisten_Import'!$B:$B,"Mustermann GmbH",'01_Saldenlisten_Import'!$F:$F,"Eigenkapital"),0)</f>
        <v>0</v>
      </c>
      <c r="J17" s="268">
        <f>IFERROR(SUMIFS('01_Saldenlisten_Import'!$J:$J,'01_Saldenlisten_Import'!$A:$A,"2025-08",'01_Saldenlisten_Import'!$B:$B,"Mustermann GmbH",'01_Saldenlisten_Import'!$F:$F,"Eigenkapital"),0)</f>
        <v>0</v>
      </c>
      <c r="K17" s="268">
        <f>IFERROR(SUMIFS('01_Saldenlisten_Import'!$J:$J,'01_Saldenlisten_Import'!$A:$A,"2025-09",'01_Saldenlisten_Import'!$B:$B,"Mustermann GmbH",'01_Saldenlisten_Import'!$F:$F,"Eigenkapital"),0)</f>
        <v>0</v>
      </c>
      <c r="L17" s="269">
        <f>IFERROR(SUM(C17:K17),0)</f>
        <v>0</v>
      </c>
    </row>
    <row r="18" spans="1:12" ht="19.5" customHeight="1" x14ac:dyDescent="0.2">
      <c r="A18" s="270"/>
      <c r="B18" s="271" t="s">
        <v>522</v>
      </c>
      <c r="C18" s="272">
        <f t="shared" ref="C18:L18" si="3">IFERROR(C17,0)</f>
        <v>0</v>
      </c>
      <c r="D18" s="272">
        <f t="shared" si="3"/>
        <v>0</v>
      </c>
      <c r="E18" s="272">
        <f t="shared" si="3"/>
        <v>0</v>
      </c>
      <c r="F18" s="272">
        <f t="shared" si="3"/>
        <v>0</v>
      </c>
      <c r="G18" s="272">
        <f t="shared" si="3"/>
        <v>0</v>
      </c>
      <c r="H18" s="272">
        <f t="shared" si="3"/>
        <v>0</v>
      </c>
      <c r="I18" s="272">
        <f t="shared" si="3"/>
        <v>0</v>
      </c>
      <c r="J18" s="272">
        <f t="shared" si="3"/>
        <v>0</v>
      </c>
      <c r="K18" s="272">
        <f t="shared" si="3"/>
        <v>0</v>
      </c>
      <c r="L18" s="273">
        <f t="shared" si="3"/>
        <v>0</v>
      </c>
    </row>
    <row r="19" spans="1:12" ht="18" customHeight="1" x14ac:dyDescent="0.2">
      <c r="A19" s="241" t="s">
        <v>523</v>
      </c>
      <c r="B19" s="242" t="s">
        <v>524</v>
      </c>
      <c r="C19" s="274">
        <f>IFERROR(SUMIFS('01_Saldenlisten_Import'!$J:$J,'01_Saldenlisten_Import'!$A:$A,"2025-01",'01_Saldenlisten_Import'!$B:$B,"Mustermann GmbH",'01_Saldenlisten_Import'!$F:$F,"Fremdkapital"),0)</f>
        <v>18500</v>
      </c>
      <c r="D19" s="274">
        <f>IFERROR(SUMIFS('01_Saldenlisten_Import'!$J:$J,'01_Saldenlisten_Import'!$A:$A,"2025-02",'01_Saldenlisten_Import'!$B:$B,"Mustermann GmbH",'01_Saldenlisten_Import'!$F:$F,"Fremdkapital"),0)</f>
        <v>19000</v>
      </c>
      <c r="E19" s="274">
        <f>IFERROR(SUMIFS('01_Saldenlisten_Import'!$J:$J,'01_Saldenlisten_Import'!$A:$A,"2025-03",'01_Saldenlisten_Import'!$B:$B,"Mustermann GmbH",'01_Saldenlisten_Import'!$F:$F,"Fremdkapital"),0)</f>
        <v>20000</v>
      </c>
      <c r="F19" s="274">
        <f>IFERROR(SUMIFS('01_Saldenlisten_Import'!$J:$J,'01_Saldenlisten_Import'!$A:$A,"2025-04",'01_Saldenlisten_Import'!$B:$B,"Mustermann GmbH",'01_Saldenlisten_Import'!$F:$F,"Fremdkapital"),0)</f>
        <v>19000</v>
      </c>
      <c r="G19" s="274">
        <f>IFERROR(SUMIFS('01_Saldenlisten_Import'!$J:$J,'01_Saldenlisten_Import'!$A:$A,"2025-05",'01_Saldenlisten_Import'!$B:$B,"Mustermann GmbH",'01_Saldenlisten_Import'!$F:$F,"Fremdkapital"),0)</f>
        <v>20300</v>
      </c>
      <c r="H19" s="274">
        <f>IFERROR(SUMIFS('01_Saldenlisten_Import'!$J:$J,'01_Saldenlisten_Import'!$A:$A,"2025-06",'01_Saldenlisten_Import'!$B:$B,"Mustermann GmbH",'01_Saldenlisten_Import'!$F:$F,"Fremdkapital"),0)</f>
        <v>21000</v>
      </c>
      <c r="I19" s="274">
        <f>IFERROR(SUMIFS('01_Saldenlisten_Import'!$J:$J,'01_Saldenlisten_Import'!$A:$A,"2025-07",'01_Saldenlisten_Import'!$B:$B,"Mustermann GmbH",'01_Saldenlisten_Import'!$F:$F,"Fremdkapital"),0)</f>
        <v>20600</v>
      </c>
      <c r="J19" s="274">
        <f>IFERROR(SUMIFS('01_Saldenlisten_Import'!$J:$J,'01_Saldenlisten_Import'!$A:$A,"2025-08",'01_Saldenlisten_Import'!$B:$B,"Mustermann GmbH",'01_Saldenlisten_Import'!$F:$F,"Fremdkapital"),0)</f>
        <v>21200</v>
      </c>
      <c r="K19" s="274">
        <f>IFERROR(SUMIFS('01_Saldenlisten_Import'!$J:$J,'01_Saldenlisten_Import'!$A:$A,"2025-09",'01_Saldenlisten_Import'!$B:$B,"Mustermann GmbH",'01_Saldenlisten_Import'!$F:$F,"Fremdkapital"),0)</f>
        <v>21500</v>
      </c>
      <c r="L19" s="275">
        <f>IFERROR(SUM(C19:K19),0)</f>
        <v>181100</v>
      </c>
    </row>
    <row r="20" spans="1:12" ht="18" customHeight="1" x14ac:dyDescent="0.2">
      <c r="A20" s="241" t="s">
        <v>525</v>
      </c>
      <c r="B20" s="242" t="s">
        <v>526</v>
      </c>
      <c r="C20" s="274">
        <f>IFERROR(SUMIFS('01_Saldenlisten_Import'!$J:$J,'01_Saldenlisten_Import'!$A:$A,"2025-01",'01_Saldenlisten_Import'!$B:$B,"Mustermann GmbH",'01_Saldenlisten_Import'!$F:$F,"Steuervb."),0)</f>
        <v>0</v>
      </c>
      <c r="D20" s="274">
        <f>IFERROR(SUMIFS('01_Saldenlisten_Import'!$J:$J,'01_Saldenlisten_Import'!$A:$A,"2025-02",'01_Saldenlisten_Import'!$B:$B,"Mustermann GmbH",'01_Saldenlisten_Import'!$F:$F,"Steuervb."),0)</f>
        <v>0</v>
      </c>
      <c r="E20" s="274">
        <f>IFERROR(SUMIFS('01_Saldenlisten_Import'!$J:$J,'01_Saldenlisten_Import'!$A:$A,"2025-03",'01_Saldenlisten_Import'!$B:$B,"Mustermann GmbH",'01_Saldenlisten_Import'!$F:$F,"Steuervb."),0)</f>
        <v>0</v>
      </c>
      <c r="F20" s="274">
        <f>IFERROR(SUMIFS('01_Saldenlisten_Import'!$J:$J,'01_Saldenlisten_Import'!$A:$A,"2025-04",'01_Saldenlisten_Import'!$B:$B,"Mustermann GmbH",'01_Saldenlisten_Import'!$F:$F,"Steuervb."),0)</f>
        <v>0</v>
      </c>
      <c r="G20" s="274">
        <f>IFERROR(SUMIFS('01_Saldenlisten_Import'!$J:$J,'01_Saldenlisten_Import'!$A:$A,"2025-05",'01_Saldenlisten_Import'!$B:$B,"Mustermann GmbH",'01_Saldenlisten_Import'!$F:$F,"Steuervb."),0)</f>
        <v>0</v>
      </c>
      <c r="H20" s="274">
        <f>IFERROR(SUMIFS('01_Saldenlisten_Import'!$J:$J,'01_Saldenlisten_Import'!$A:$A,"2025-06",'01_Saldenlisten_Import'!$B:$B,"Mustermann GmbH",'01_Saldenlisten_Import'!$F:$F,"Steuervb."),0)</f>
        <v>0</v>
      </c>
      <c r="I20" s="274">
        <f>IFERROR(SUMIFS('01_Saldenlisten_Import'!$J:$J,'01_Saldenlisten_Import'!$A:$A,"2025-07",'01_Saldenlisten_Import'!$B:$B,"Mustermann GmbH",'01_Saldenlisten_Import'!$F:$F,"Steuervb."),0)</f>
        <v>0</v>
      </c>
      <c r="J20" s="274">
        <f>IFERROR(SUMIFS('01_Saldenlisten_Import'!$J:$J,'01_Saldenlisten_Import'!$A:$A,"2025-08",'01_Saldenlisten_Import'!$B:$B,"Mustermann GmbH",'01_Saldenlisten_Import'!$F:$F,"Steuervb."),0)</f>
        <v>0</v>
      </c>
      <c r="K20" s="274">
        <f>IFERROR(SUMIFS('01_Saldenlisten_Import'!$J:$J,'01_Saldenlisten_Import'!$A:$A,"2025-09",'01_Saldenlisten_Import'!$B:$B,"Mustermann GmbH",'01_Saldenlisten_Import'!$F:$F,"Steuervb."),0)</f>
        <v>0</v>
      </c>
      <c r="L20" s="275">
        <f>IFERROR(SUM(C20:K20),0)</f>
        <v>0</v>
      </c>
    </row>
    <row r="21" spans="1:12" ht="18" customHeight="1" x14ac:dyDescent="0.2">
      <c r="A21" s="241" t="s">
        <v>527</v>
      </c>
      <c r="B21" s="242" t="s">
        <v>528</v>
      </c>
      <c r="C21" s="274">
        <f>IFERROR(SUMIFS('01_Saldenlisten_Import'!$J:$J,'01_Saldenlisten_Import'!$A:$A,"2025-01",'01_Saldenlisten_Import'!$B:$B,"Mustermann GmbH",'01_Saldenlisten_Import'!$F:$F,"Fremdkapital"),0)</f>
        <v>18500</v>
      </c>
      <c r="D21" s="274">
        <f>IFERROR(SUMIFS('01_Saldenlisten_Import'!$J:$J,'01_Saldenlisten_Import'!$A:$A,"2025-02",'01_Saldenlisten_Import'!$B:$B,"Mustermann GmbH",'01_Saldenlisten_Import'!$F:$F,"Fremdkapital"),0)</f>
        <v>19000</v>
      </c>
      <c r="E21" s="274">
        <f>IFERROR(SUMIFS('01_Saldenlisten_Import'!$J:$J,'01_Saldenlisten_Import'!$A:$A,"2025-03",'01_Saldenlisten_Import'!$B:$B,"Mustermann GmbH",'01_Saldenlisten_Import'!$F:$F,"Fremdkapital"),0)</f>
        <v>20000</v>
      </c>
      <c r="F21" s="274">
        <f>IFERROR(SUMIFS('01_Saldenlisten_Import'!$J:$J,'01_Saldenlisten_Import'!$A:$A,"2025-04",'01_Saldenlisten_Import'!$B:$B,"Mustermann GmbH",'01_Saldenlisten_Import'!$F:$F,"Fremdkapital"),0)</f>
        <v>19000</v>
      </c>
      <c r="G21" s="274">
        <f>IFERROR(SUMIFS('01_Saldenlisten_Import'!$J:$J,'01_Saldenlisten_Import'!$A:$A,"2025-05",'01_Saldenlisten_Import'!$B:$B,"Mustermann GmbH",'01_Saldenlisten_Import'!$F:$F,"Fremdkapital"),0)</f>
        <v>20300</v>
      </c>
      <c r="H21" s="274">
        <f>IFERROR(SUMIFS('01_Saldenlisten_Import'!$J:$J,'01_Saldenlisten_Import'!$A:$A,"2025-06",'01_Saldenlisten_Import'!$B:$B,"Mustermann GmbH",'01_Saldenlisten_Import'!$F:$F,"Fremdkapital"),0)</f>
        <v>21000</v>
      </c>
      <c r="I21" s="274">
        <f>IFERROR(SUMIFS('01_Saldenlisten_Import'!$J:$J,'01_Saldenlisten_Import'!$A:$A,"2025-07",'01_Saldenlisten_Import'!$B:$B,"Mustermann GmbH",'01_Saldenlisten_Import'!$F:$F,"Fremdkapital"),0)</f>
        <v>20600</v>
      </c>
      <c r="J21" s="274">
        <f>IFERROR(SUMIFS('01_Saldenlisten_Import'!$J:$J,'01_Saldenlisten_Import'!$A:$A,"2025-08",'01_Saldenlisten_Import'!$B:$B,"Mustermann GmbH",'01_Saldenlisten_Import'!$F:$F,"Fremdkapital"),0)</f>
        <v>21200</v>
      </c>
      <c r="K21" s="274">
        <f>IFERROR(SUMIFS('01_Saldenlisten_Import'!$J:$J,'01_Saldenlisten_Import'!$A:$A,"2025-09",'01_Saldenlisten_Import'!$B:$B,"Mustermann GmbH",'01_Saldenlisten_Import'!$F:$F,"Fremdkapital"),0)</f>
        <v>21500</v>
      </c>
      <c r="L21" s="275">
        <f>IFERROR(SUM(C21:K21),0)</f>
        <v>181100</v>
      </c>
    </row>
    <row r="22" spans="1:12" ht="19.5" customHeight="1" x14ac:dyDescent="0.2">
      <c r="A22" s="276"/>
      <c r="B22" s="277" t="s">
        <v>529</v>
      </c>
      <c r="C22" s="278">
        <f t="shared" ref="C22:L22" si="4">IFERROR(SUM(C19:C21),0)</f>
        <v>37000</v>
      </c>
      <c r="D22" s="278">
        <f t="shared" si="4"/>
        <v>38000</v>
      </c>
      <c r="E22" s="278">
        <f t="shared" si="4"/>
        <v>40000</v>
      </c>
      <c r="F22" s="278">
        <f t="shared" si="4"/>
        <v>38000</v>
      </c>
      <c r="G22" s="278">
        <f t="shared" si="4"/>
        <v>40600</v>
      </c>
      <c r="H22" s="278">
        <f t="shared" si="4"/>
        <v>42000</v>
      </c>
      <c r="I22" s="278">
        <f t="shared" si="4"/>
        <v>41200</v>
      </c>
      <c r="J22" s="278">
        <f t="shared" si="4"/>
        <v>42400</v>
      </c>
      <c r="K22" s="278">
        <f t="shared" si="4"/>
        <v>43000</v>
      </c>
      <c r="L22" s="279">
        <f t="shared" si="4"/>
        <v>362200</v>
      </c>
    </row>
    <row r="23" spans="1:12" ht="18" customHeight="1" x14ac:dyDescent="0.2">
      <c r="A23" s="236" t="s">
        <v>530</v>
      </c>
      <c r="B23" s="237" t="s">
        <v>531</v>
      </c>
      <c r="C23" s="280">
        <f>IFERROR(SUMIFS('01_Saldenlisten_Import'!$J:$J,'01_Saldenlisten_Import'!$A:$A,"2025-01",'01_Saldenlisten_Import'!$B:$B,"Mustermann GmbH",'01_Saldenlisten_Import'!$F:$F,"Rückstellungen"),0)</f>
        <v>0</v>
      </c>
      <c r="D23" s="280">
        <f>IFERROR(SUMIFS('01_Saldenlisten_Import'!$J:$J,'01_Saldenlisten_Import'!$A:$A,"2025-02",'01_Saldenlisten_Import'!$B:$B,"Mustermann GmbH",'01_Saldenlisten_Import'!$F:$F,"Rückstellungen"),0)</f>
        <v>0</v>
      </c>
      <c r="E23" s="280">
        <f>IFERROR(SUMIFS('01_Saldenlisten_Import'!$J:$J,'01_Saldenlisten_Import'!$A:$A,"2025-03",'01_Saldenlisten_Import'!$B:$B,"Mustermann GmbH",'01_Saldenlisten_Import'!$F:$F,"Rückstellungen"),0)</f>
        <v>0</v>
      </c>
      <c r="F23" s="280">
        <f>IFERROR(SUMIFS('01_Saldenlisten_Import'!$J:$J,'01_Saldenlisten_Import'!$A:$A,"2025-04",'01_Saldenlisten_Import'!$B:$B,"Mustermann GmbH",'01_Saldenlisten_Import'!$F:$F,"Rückstellungen"),0)</f>
        <v>0</v>
      </c>
      <c r="G23" s="280">
        <f>IFERROR(SUMIFS('01_Saldenlisten_Import'!$J:$J,'01_Saldenlisten_Import'!$A:$A,"2025-05",'01_Saldenlisten_Import'!$B:$B,"Mustermann GmbH",'01_Saldenlisten_Import'!$F:$F,"Rückstellungen"),0)</f>
        <v>0</v>
      </c>
      <c r="H23" s="280">
        <f>IFERROR(SUMIFS('01_Saldenlisten_Import'!$J:$J,'01_Saldenlisten_Import'!$A:$A,"2025-06",'01_Saldenlisten_Import'!$B:$B,"Mustermann GmbH",'01_Saldenlisten_Import'!$F:$F,"Rückstellungen"),0)</f>
        <v>0</v>
      </c>
      <c r="I23" s="280">
        <f>IFERROR(SUMIFS('01_Saldenlisten_Import'!$J:$J,'01_Saldenlisten_Import'!$A:$A,"2025-07",'01_Saldenlisten_Import'!$B:$B,"Mustermann GmbH",'01_Saldenlisten_Import'!$F:$F,"Rückstellungen"),0)</f>
        <v>0</v>
      </c>
      <c r="J23" s="280">
        <f>IFERROR(SUMIFS('01_Saldenlisten_Import'!$J:$J,'01_Saldenlisten_Import'!$A:$A,"2025-08",'01_Saldenlisten_Import'!$B:$B,"Mustermann GmbH",'01_Saldenlisten_Import'!$F:$F,"Rückstellungen"),0)</f>
        <v>0</v>
      </c>
      <c r="K23" s="280">
        <f>IFERROR(SUMIFS('01_Saldenlisten_Import'!$J:$J,'01_Saldenlisten_Import'!$A:$A,"2025-09",'01_Saldenlisten_Import'!$B:$B,"Mustermann GmbH",'01_Saldenlisten_Import'!$F:$F,"Rückstellungen"),0)</f>
        <v>0</v>
      </c>
      <c r="L23" s="281">
        <f>IFERROR(SUM(C23:K23),0)</f>
        <v>0</v>
      </c>
    </row>
    <row r="24" spans="1:12" ht="19.5" customHeight="1" x14ac:dyDescent="0.2">
      <c r="A24" s="282"/>
      <c r="B24" s="283" t="s">
        <v>532</v>
      </c>
      <c r="C24" s="284">
        <f t="shared" ref="C24:L24" si="5">IFERROR(C18+C22+C23,0)</f>
        <v>37000</v>
      </c>
      <c r="D24" s="284">
        <f t="shared" si="5"/>
        <v>38000</v>
      </c>
      <c r="E24" s="284">
        <f t="shared" si="5"/>
        <v>40000</v>
      </c>
      <c r="F24" s="284">
        <f t="shared" si="5"/>
        <v>38000</v>
      </c>
      <c r="G24" s="284">
        <f t="shared" si="5"/>
        <v>40600</v>
      </c>
      <c r="H24" s="284">
        <f t="shared" si="5"/>
        <v>42000</v>
      </c>
      <c r="I24" s="284">
        <f t="shared" si="5"/>
        <v>41200</v>
      </c>
      <c r="J24" s="284">
        <f t="shared" si="5"/>
        <v>42400</v>
      </c>
      <c r="K24" s="284">
        <f t="shared" si="5"/>
        <v>43000</v>
      </c>
      <c r="L24" s="285">
        <f t="shared" si="5"/>
        <v>362200</v>
      </c>
    </row>
    <row r="25" spans="1:12" ht="18" customHeight="1" x14ac:dyDescent="0.2">
      <c r="A25" s="286"/>
      <c r="B25" s="287" t="s">
        <v>533</v>
      </c>
      <c r="C25" s="288">
        <f t="shared" ref="C25:L25" si="6">IFERROR(C15-C24,0)</f>
        <v>32000</v>
      </c>
      <c r="D25" s="288">
        <f t="shared" si="6"/>
        <v>33500</v>
      </c>
      <c r="E25" s="288">
        <f t="shared" si="6"/>
        <v>35000</v>
      </c>
      <c r="F25" s="288">
        <f t="shared" si="6"/>
        <v>33000</v>
      </c>
      <c r="G25" s="288">
        <f t="shared" si="6"/>
        <v>36400</v>
      </c>
      <c r="H25" s="288">
        <f t="shared" si="6"/>
        <v>37500</v>
      </c>
      <c r="I25" s="288">
        <f t="shared" si="6"/>
        <v>37300</v>
      </c>
      <c r="J25" s="288">
        <f t="shared" si="6"/>
        <v>39600</v>
      </c>
      <c r="K25" s="288">
        <f t="shared" si="6"/>
        <v>40500</v>
      </c>
      <c r="L25" s="289">
        <f t="shared" si="6"/>
        <v>324800</v>
      </c>
    </row>
  </sheetData>
  <mergeCells count="3">
    <mergeCell ref="A1:L1"/>
    <mergeCell ref="A3:L3"/>
    <mergeCell ref="A16:L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D127-47B7-344D-93CD-EE2A2DF8F7D6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B2A4A"/>
  </sheetPr>
  <dimension ref="A1:G32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8.6640625" defaultRowHeight="15" x14ac:dyDescent="0.2"/>
  <cols>
    <col min="1" max="1" width="28" customWidth="1"/>
    <col min="2" max="2" width="20" customWidth="1"/>
    <col min="3" max="3" width="38" customWidth="1"/>
    <col min="4" max="5" width="28" customWidth="1"/>
    <col min="6" max="6" width="14" customWidth="1"/>
    <col min="7" max="7" width="20" customWidth="1"/>
  </cols>
  <sheetData>
    <row r="1" spans="1:7" ht="49.5" customHeight="1" x14ac:dyDescent="0.2">
      <c r="A1" s="6" t="s">
        <v>534</v>
      </c>
      <c r="B1" s="6"/>
      <c r="C1" s="6"/>
      <c r="D1" s="6"/>
      <c r="E1" s="6"/>
      <c r="F1" s="6"/>
      <c r="G1" s="6"/>
    </row>
    <row r="2" spans="1:7" ht="18" customHeight="1" x14ac:dyDescent="0.2"/>
    <row r="3" spans="1:7" ht="13.5" customHeight="1" x14ac:dyDescent="0.2">
      <c r="A3" s="10" t="s">
        <v>535</v>
      </c>
      <c r="B3" s="10"/>
      <c r="C3" s="10"/>
      <c r="D3" s="10"/>
      <c r="E3" s="10"/>
      <c r="F3" s="10"/>
      <c r="G3" s="10"/>
    </row>
    <row r="5" spans="1:7" ht="21.75" customHeight="1" x14ac:dyDescent="0.2">
      <c r="A5" s="83" t="s">
        <v>536</v>
      </c>
      <c r="B5" s="83" t="s">
        <v>537</v>
      </c>
      <c r="C5" s="83" t="s">
        <v>538</v>
      </c>
      <c r="D5" s="83" t="s">
        <v>539</v>
      </c>
      <c r="E5" s="83" t="s">
        <v>540</v>
      </c>
    </row>
    <row r="6" spans="1:7" ht="15" customHeight="1" x14ac:dyDescent="0.2">
      <c r="A6" s="93" t="s">
        <v>541</v>
      </c>
      <c r="B6" s="290" t="s">
        <v>542</v>
      </c>
      <c r="C6" s="85" t="s">
        <v>543</v>
      </c>
      <c r="D6" s="166" t="s">
        <v>544</v>
      </c>
      <c r="E6" s="166" t="s">
        <v>545</v>
      </c>
    </row>
    <row r="7" spans="1:7" ht="15" customHeight="1" x14ac:dyDescent="0.2">
      <c r="A7" s="100" t="s">
        <v>546</v>
      </c>
      <c r="B7" s="290" t="s">
        <v>547</v>
      </c>
      <c r="C7" s="89" t="s">
        <v>548</v>
      </c>
      <c r="D7" s="169" t="s">
        <v>549</v>
      </c>
      <c r="E7" s="169" t="s">
        <v>550</v>
      </c>
    </row>
    <row r="8" spans="1:7" ht="15" customHeight="1" x14ac:dyDescent="0.2">
      <c r="A8" s="93" t="s">
        <v>551</v>
      </c>
      <c r="B8" s="290" t="s">
        <v>552</v>
      </c>
      <c r="C8" s="85" t="s">
        <v>553</v>
      </c>
      <c r="D8" s="166" t="s">
        <v>554</v>
      </c>
      <c r="E8" s="166" t="s">
        <v>552</v>
      </c>
    </row>
    <row r="9" spans="1:7" ht="15" customHeight="1" x14ac:dyDescent="0.2">
      <c r="A9" s="100" t="s">
        <v>395</v>
      </c>
      <c r="B9" s="290" t="s">
        <v>163</v>
      </c>
      <c r="C9" s="89" t="s">
        <v>555</v>
      </c>
      <c r="D9" s="169" t="s">
        <v>556</v>
      </c>
      <c r="E9" s="169" t="s">
        <v>557</v>
      </c>
    </row>
    <row r="10" spans="1:7" ht="15" customHeight="1" x14ac:dyDescent="0.2">
      <c r="A10" s="93" t="s">
        <v>558</v>
      </c>
      <c r="B10" s="290" t="s">
        <v>559</v>
      </c>
      <c r="C10" s="85" t="s">
        <v>560</v>
      </c>
      <c r="D10" s="166" t="s">
        <v>561</v>
      </c>
      <c r="E10" s="166" t="s">
        <v>562</v>
      </c>
    </row>
    <row r="11" spans="1:7" ht="15" customHeight="1" x14ac:dyDescent="0.2">
      <c r="A11" s="100" t="s">
        <v>563</v>
      </c>
      <c r="B11" s="290" t="s">
        <v>564</v>
      </c>
      <c r="C11" s="89" t="s">
        <v>565</v>
      </c>
      <c r="D11" s="169" t="s">
        <v>566</v>
      </c>
      <c r="E11" s="169" t="s">
        <v>564</v>
      </c>
    </row>
    <row r="12" spans="1:7" ht="15" customHeight="1" x14ac:dyDescent="0.2">
      <c r="A12" s="93" t="s">
        <v>567</v>
      </c>
      <c r="B12" s="290" t="s">
        <v>8</v>
      </c>
      <c r="C12" s="85" t="s">
        <v>568</v>
      </c>
      <c r="D12" s="166" t="s">
        <v>569</v>
      </c>
      <c r="E12" s="166" t="s">
        <v>8</v>
      </c>
    </row>
    <row r="13" spans="1:7" ht="15" customHeight="1" x14ac:dyDescent="0.2">
      <c r="A13" s="100" t="s">
        <v>570</v>
      </c>
      <c r="B13" s="290" t="s">
        <v>8</v>
      </c>
      <c r="C13" s="89" t="s">
        <v>571</v>
      </c>
      <c r="D13" s="169" t="s">
        <v>569</v>
      </c>
      <c r="E13" s="169" t="s">
        <v>8</v>
      </c>
    </row>
    <row r="14" spans="1:7" ht="15" customHeight="1" x14ac:dyDescent="0.2">
      <c r="A14" s="93" t="s">
        <v>572</v>
      </c>
      <c r="B14" s="290" t="s">
        <v>573</v>
      </c>
      <c r="C14" s="85" t="s">
        <v>574</v>
      </c>
      <c r="D14" s="166" t="s">
        <v>575</v>
      </c>
      <c r="E14" s="166" t="s">
        <v>573</v>
      </c>
    </row>
    <row r="15" spans="1:7" ht="15" customHeight="1" x14ac:dyDescent="0.2">
      <c r="A15" s="100" t="s">
        <v>576</v>
      </c>
      <c r="B15" s="290" t="s">
        <v>8</v>
      </c>
      <c r="C15" s="89" t="s">
        <v>577</v>
      </c>
      <c r="D15" s="169" t="s">
        <v>569</v>
      </c>
      <c r="E15" s="169" t="s">
        <v>8</v>
      </c>
    </row>
    <row r="16" spans="1:7" ht="15" customHeight="1" x14ac:dyDescent="0.2">
      <c r="A16" s="93" t="s">
        <v>578</v>
      </c>
      <c r="B16" s="290" t="s">
        <v>579</v>
      </c>
      <c r="C16" s="85" t="s">
        <v>580</v>
      </c>
      <c r="D16" s="166" t="s">
        <v>581</v>
      </c>
      <c r="E16" s="166" t="s">
        <v>582</v>
      </c>
    </row>
    <row r="17" spans="1:7" ht="15" customHeight="1" x14ac:dyDescent="0.2">
      <c r="A17" s="100" t="s">
        <v>583</v>
      </c>
      <c r="B17" s="290" t="s">
        <v>584</v>
      </c>
      <c r="C17" s="89" t="s">
        <v>585</v>
      </c>
      <c r="D17" s="169" t="s">
        <v>586</v>
      </c>
      <c r="E17" s="169" t="s">
        <v>587</v>
      </c>
    </row>
    <row r="19" spans="1:7" ht="30" customHeight="1" x14ac:dyDescent="0.2"/>
    <row r="20" spans="1:7" ht="15" customHeight="1" x14ac:dyDescent="0.2">
      <c r="A20" s="7" t="s">
        <v>588</v>
      </c>
      <c r="B20" s="7"/>
      <c r="C20" s="7"/>
      <c r="D20" s="7"/>
      <c r="E20" s="7"/>
      <c r="F20" s="7"/>
      <c r="G20" s="7"/>
    </row>
    <row r="21" spans="1:7" ht="21.75" customHeight="1" x14ac:dyDescent="0.2">
      <c r="A21" s="171" t="s">
        <v>150</v>
      </c>
      <c r="B21" s="171" t="s">
        <v>161</v>
      </c>
      <c r="C21" s="171" t="s">
        <v>589</v>
      </c>
      <c r="D21" s="171" t="s">
        <v>590</v>
      </c>
      <c r="E21" s="171" t="s">
        <v>591</v>
      </c>
      <c r="F21" s="171" t="s">
        <v>413</v>
      </c>
      <c r="G21" s="171" t="s">
        <v>592</v>
      </c>
    </row>
    <row r="22" spans="1:7" ht="15" customHeight="1" x14ac:dyDescent="0.2">
      <c r="A22" s="100" t="s">
        <v>163</v>
      </c>
      <c r="B22" s="87" t="s">
        <v>405</v>
      </c>
      <c r="C22" s="291" t="s">
        <v>593</v>
      </c>
      <c r="D22" s="291" t="s">
        <v>593</v>
      </c>
      <c r="E22" s="291" t="s">
        <v>593</v>
      </c>
      <c r="F22" s="99" t="s">
        <v>594</v>
      </c>
      <c r="G22" s="169" t="s">
        <v>595</v>
      </c>
    </row>
    <row r="23" spans="1:7" ht="15" customHeight="1" x14ac:dyDescent="0.2">
      <c r="A23" s="93" t="s">
        <v>178</v>
      </c>
      <c r="B23" s="87" t="s">
        <v>405</v>
      </c>
      <c r="C23" s="291" t="s">
        <v>593</v>
      </c>
      <c r="D23" s="291" t="s">
        <v>593</v>
      </c>
      <c r="E23" s="291" t="s">
        <v>593</v>
      </c>
      <c r="F23" s="92" t="s">
        <v>594</v>
      </c>
      <c r="G23" s="166" t="s">
        <v>596</v>
      </c>
    </row>
    <row r="24" spans="1:7" ht="15" customHeight="1" x14ac:dyDescent="0.2">
      <c r="A24" s="100" t="s">
        <v>226</v>
      </c>
      <c r="B24" s="87" t="s">
        <v>405</v>
      </c>
      <c r="C24" s="291" t="s">
        <v>593</v>
      </c>
      <c r="D24" s="291" t="s">
        <v>593</v>
      </c>
      <c r="E24" s="291" t="s">
        <v>593</v>
      </c>
      <c r="F24" s="99" t="s">
        <v>597</v>
      </c>
      <c r="G24" s="169" t="s">
        <v>598</v>
      </c>
    </row>
    <row r="25" spans="1:7" ht="15" customHeight="1" x14ac:dyDescent="0.2">
      <c r="A25" s="93" t="s">
        <v>406</v>
      </c>
      <c r="B25" s="87" t="s">
        <v>405</v>
      </c>
      <c r="C25" s="292" t="s">
        <v>409</v>
      </c>
      <c r="D25" s="291" t="s">
        <v>593</v>
      </c>
      <c r="E25" s="292" t="s">
        <v>409</v>
      </c>
      <c r="F25" s="92" t="s">
        <v>594</v>
      </c>
      <c r="G25" s="166" t="s">
        <v>599</v>
      </c>
    </row>
    <row r="26" spans="1:7" ht="15" customHeight="1" x14ac:dyDescent="0.2">
      <c r="A26" s="100" t="s">
        <v>407</v>
      </c>
      <c r="B26" s="159" t="s">
        <v>408</v>
      </c>
      <c r="C26" s="293" t="s">
        <v>409</v>
      </c>
      <c r="D26" s="293" t="s">
        <v>409</v>
      </c>
      <c r="E26" s="293" t="s">
        <v>409</v>
      </c>
      <c r="F26" s="99" t="s">
        <v>594</v>
      </c>
      <c r="G26" s="169" t="s">
        <v>600</v>
      </c>
    </row>
    <row r="28" spans="1:7" ht="19.5" customHeight="1" x14ac:dyDescent="0.2">
      <c r="A28" s="321" t="s">
        <v>601</v>
      </c>
      <c r="B28" s="321"/>
      <c r="C28" s="321"/>
      <c r="D28" s="321"/>
      <c r="E28" s="321"/>
      <c r="F28" s="321"/>
      <c r="G28" s="321"/>
    </row>
    <row r="29" spans="1:7" ht="13.5" customHeight="1" x14ac:dyDescent="0.2">
      <c r="A29" s="322" t="s">
        <v>602</v>
      </c>
      <c r="B29" s="322"/>
      <c r="C29" s="322"/>
      <c r="D29" s="322"/>
      <c r="E29" s="322"/>
      <c r="F29" s="322"/>
      <c r="G29" s="322"/>
    </row>
    <row r="30" spans="1:7" ht="15" customHeight="1" x14ac:dyDescent="0.2">
      <c r="A30" s="322"/>
      <c r="B30" s="322"/>
      <c r="C30" s="322"/>
      <c r="D30" s="322"/>
      <c r="E30" s="322"/>
      <c r="F30" s="322"/>
      <c r="G30" s="322"/>
    </row>
    <row r="31" spans="1:7" ht="15" customHeight="1" x14ac:dyDescent="0.2">
      <c r="A31" s="322"/>
      <c r="B31" s="322"/>
      <c r="C31" s="322"/>
      <c r="D31" s="322"/>
      <c r="E31" s="322"/>
      <c r="F31" s="322"/>
      <c r="G31" s="322"/>
    </row>
    <row r="32" spans="1:7" ht="15" customHeight="1" x14ac:dyDescent="0.2">
      <c r="A32" s="322"/>
      <c r="B32" s="322"/>
      <c r="C32" s="322"/>
      <c r="D32" s="322"/>
      <c r="E32" s="322"/>
      <c r="F32" s="322"/>
      <c r="G32" s="322"/>
    </row>
  </sheetData>
  <mergeCells count="5">
    <mergeCell ref="A1:G1"/>
    <mergeCell ref="A3:G3"/>
    <mergeCell ref="A20:G20"/>
    <mergeCell ref="A28:G28"/>
    <mergeCell ref="A29:G3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00_Kontenrahmen</vt:lpstr>
      <vt:lpstr>01_Saldenlisten_Import</vt:lpstr>
      <vt:lpstr>02_BWA_Import</vt:lpstr>
      <vt:lpstr>03_Mitarbeiter</vt:lpstr>
      <vt:lpstr>04_Dashboard</vt:lpstr>
      <vt:lpstr>05_Kennzahlen</vt:lpstr>
      <vt:lpstr>06_Mandantenbericht</vt:lpstr>
      <vt:lpstr>07_KI_Auswertung</vt:lpstr>
      <vt:lpstr>08_Kumuliert_Final</vt:lpstr>
      <vt:lpstr>09_Planung</vt:lpstr>
      <vt:lpstr>10_Kostenstruktur</vt:lpstr>
      <vt:lpstr>GuV_Struktur</vt:lpstr>
      <vt:lpstr>Bilanz_Struktur</vt:lpstr>
      <vt:lpstr>Tabelle1</vt:lpstr>
      <vt:lpstr>01_Einstellungen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 S</cp:lastModifiedBy>
  <cp:revision>0</cp:revision>
  <dcterms:created xsi:type="dcterms:W3CDTF">2026-06-24T02:49:17Z</dcterms:created>
  <dcterms:modified xsi:type="dcterms:W3CDTF">2026-06-24T04:49:37Z</dcterms:modified>
  <dc:language>en-US</dc:language>
</cp:coreProperties>
</file>